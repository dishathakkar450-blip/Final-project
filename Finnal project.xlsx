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ontents" sheetId="2" state="visible" r:id="rId4"/>
    <sheet name="Dashboard" sheetId="3" state="visible" r:id="rId5"/>
    <sheet name="Guide" sheetId="4" state="visible" r:id="rId6"/>
    <sheet name="Raw Data" sheetId="5" state="visible" r:id="rId7"/>
    <sheet name="Analysis" sheetId="6" state="visible" r:id="rId8"/>
    <sheet name="Filter" sheetId="7" state="visible" r:id="rId9"/>
    <sheet name="What-If" sheetId="8" state="visible" r:id="rId10"/>
    <sheet name="Regression" sheetId="9" state="visible" r:id="rId11"/>
    <sheet name="Visualizations" sheetId="10" state="visible" r:id="rId12"/>
    <sheet name="Final Report" sheetId="11" state="visible" r:id="rId13"/>
  </sheets>
  <definedNames>
    <definedName function="false" hidden="true" localSheetId="4" name="_xlnm._FilterDatabase" vbProcedure="false">'Raw Data'!$A$1:$Q$251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<sst xmlns="http://schemas.openxmlformats.org/spreadsheetml/2006/main" count="2546" uniqueCount="561">
  <si>
    <t xml:space="preserve">DATA  •  INSIGHTS  •  GROWTH</t>
  </si>
  <si>
    <t xml:space="preserve">📊</t>
  </si>
  <si>
    <t xml:space="preserve">PROJECT</t>
  </si>
  <si>
    <t xml:space="preserve">REPORT</t>
  </si>
  <si>
    <t xml:space="preserve">●   ●   ●</t>
  </si>
  <si>
    <t xml:space="preserve">Data Analysis using Microsoft Excel</t>
  </si>
  <si>
    <t xml:space="preserve">Submitted by</t>
  </si>
  <si>
    <t xml:space="preserve">Thakkar Disha</t>
  </si>
  <si>
    <t xml:space="preserve">GR ID</t>
  </si>
  <si>
    <t xml:space="preserve">12782</t>
  </si>
  <si>
    <t xml:space="preserve">Date</t>
  </si>
  <si>
    <t xml:space="preserve">Analyze   •   Create   •   Achieve</t>
  </si>
  <si>
    <t xml:space="preserve">Contents (click a name to open the sheet)</t>
  </si>
  <si>
    <t xml:space="preserve">Dashboard</t>
  </si>
  <si>
    <t xml:space="preserve">KPIs, 4 charts and key insights</t>
  </si>
  <si>
    <t xml:space="preserve">Guide</t>
  </si>
  <si>
    <t xml:space="preserve">Instructions and how-to steps (pivot, slicers, ToolPak, Goal Seek)</t>
  </si>
  <si>
    <t xml:space="preserve">Raw Data</t>
  </si>
  <si>
    <t xml:space="preserve">250 customer transactions (your Final Project Dataset) + DATEDIF / EOMONTH helpers</t>
  </si>
  <si>
    <t xml:space="preserve">Analysis</t>
  </si>
  <si>
    <t xml:space="preserve">Date functions, customer GroupBy, high-value customers, products, regions, monthly trend</t>
  </si>
  <si>
    <t xml:space="preserve">Filter</t>
  </si>
  <si>
    <t xml:space="preserve">Region dropdown returning all matching transactions</t>
  </si>
  <si>
    <t xml:space="preserve">What-If</t>
  </si>
  <si>
    <t xml:space="preserve">Scenario table (Best / Base / Worst) and Goal Seek</t>
  </si>
  <si>
    <t xml:space="preserve">Regression</t>
  </si>
  <si>
    <t xml:space="preserve">Linear regression: Quantity vs Total Amount (SLOPE, INTERCEPT, R²)</t>
  </si>
  <si>
    <t xml:space="preserve">Visualizations</t>
  </si>
  <si>
    <t xml:space="preserve">Bar, line, pie, top-customers bar and scatter with trendline</t>
  </si>
  <si>
    <t xml:space="preserve">Final Report</t>
  </si>
  <si>
    <t xml:space="preserve">Auto-updating insights and storytelling</t>
  </si>
  <si>
    <t xml:space="preserve">DATA INTELLIGENCE DASHBOARD</t>
  </si>
  <si>
    <t xml:space="preserve">TOTAL REVENUE</t>
  </si>
  <si>
    <t xml:space="preserve">TOTAL ORDERS</t>
  </si>
  <si>
    <t xml:space="preserve">AVG ORDER VALUE</t>
  </si>
  <si>
    <t xml:space="preserve">ACTIVE CUSTOMERS</t>
  </si>
  <si>
    <t xml:space="preserve">TOP CUSTOMER</t>
  </si>
  <si>
    <t xml:space="preserve">TOP PRODUCT (REVENUE)</t>
  </si>
  <si>
    <t xml:space="preserve">TOP REGION</t>
  </si>
  <si>
    <t xml:space="preserve">LAST FULL MONTH vs PRIOR</t>
  </si>
  <si>
    <t xml:space="preserve">PR. Final Project – Data Intelligence Dashboard</t>
  </si>
  <si>
    <t xml:space="preserve">DATASET</t>
  </si>
  <si>
    <t xml:space="preserve">'Raw Data' holds your 'Final Project Dataset' (250 transactions, columns A-N exactly as given). Columns O-Q are helper formulas (DATEDIF, EOMONTH, filter helper).</t>
  </si>
  <si>
    <t xml:space="preserve">COLOUR CODE</t>
  </si>
  <si>
    <t xml:space="preserve">Blue text / yellow fill = cells you can edit. Black = formulas.</t>
  </si>
  <si>
    <t xml:space="preserve">PIVOT TABLES (do by hand)</t>
  </si>
  <si>
    <t xml:space="preserve">Raw Data → Insert &gt; PivotTable → new sheet 'Pivot'. Build: (1) Region × Total_Amount, (2) Product_Name × Total_Amount, (3) Date by Months × Total_Amount. Then PivotCharts: Bar (Region), Line (Month), Pie (Product).</t>
  </si>
  <si>
    <t xml:space="preserve">SLICERS &amp; TIMELINE (do by hand)</t>
  </si>
  <si>
    <t xml:space="preserve">Click a PivotTable → PivotTable Analyze &gt; Insert Slicer → Region, Category, Customer_Segment. Insert Timeline → Date. Connect them via Report Connections so they control every pivot. Add pivot charts to a Dashboard area.</t>
  </si>
  <si>
    <t xml:space="preserve">FILTER FUNCTION</t>
  </si>
  <si>
    <t xml:space="preserve">Excel 365: =FILTER('Raw Data'!A2:N251,'Raw Data'!K2:K251="West","No data"). A version that works in any Excel is already on the 'Filter' sheet.</t>
  </si>
  <si>
    <t xml:space="preserve">TIMESTAMP (NOW + iterative calc)</t>
  </si>
  <si>
    <t xml:space="preserve">File &gt; Options &gt; Formulas &gt; tick 'Enable iterative calculation'. In a blank sheet: A2 = Order ID, B2: =IF(A2="","",IF(B2="",NOW(),B2)). Type an ID in A2 and the time freezes in B2. Format B2 as dd-mmm-yyyy hh:mm:ss.</t>
  </si>
  <si>
    <t xml:space="preserve">SCENARIO MANAGER</t>
  </si>
  <si>
    <t xml:space="preserve">What-If sheet: Data &gt; What-If Analysis &gt; Scenario Manager &gt; Add. Changing cells B5:B7. Best (10%, 8%, 1%), Base (5%, 2%, 3%), Worst (-2%, -5%, 6%) → Summary with result cell B8.</t>
  </si>
  <si>
    <t xml:space="preserve">GOAL SEEK</t>
  </si>
  <si>
    <t xml:space="preserve">Data &gt; What-If Analysis &gt; Goal Seek: Set cell What-If!B8, To value = What-If!B18, By changing cell What-If!B5.</t>
  </si>
  <si>
    <t xml:space="preserve">DATA ANALYSIS TOOLPAK</t>
  </si>
  <si>
    <t xml:space="preserve">File &gt; Options &gt; Add-ins &gt; Manage Excel Add-ins &gt; Go &gt; tick Analysis ToolPak. Then Data &gt; Data Analysis &gt; Regression: Y = Raw Data!N2:N251, X = Raw Data!H2:H251. Compare with the 'Regression' sheet.</t>
  </si>
  <si>
    <t xml:space="preserve">COVERED ALREADY</t>
  </si>
  <si>
    <t xml:space="preserve">TODAY, NOW, DATEDIF, EOMONTH, EDATE · SUMIFS/COUNTIFS GroupBy · icon-set arrows &amp; data bars · High-Value customers · most frequent product · list compare (MATCH) · abbreviations (LEFT/MID/FIND/UPPER/TEXT) · KPI conditional formatting · regression (SLOPE/INTERCEPT/RSQ) · dynamic insights.</t>
  </si>
  <si>
    <t xml:space="preserve">Transaction_ID</t>
  </si>
  <si>
    <t xml:space="preserve">Customer_ID</t>
  </si>
  <si>
    <t xml:space="preserve">Customer_Name</t>
  </si>
  <si>
    <t xml:space="preserve">Product_ID</t>
  </si>
  <si>
    <t xml:space="preserve">Product_Name</t>
  </si>
  <si>
    <t xml:space="preserve">Category</t>
  </si>
  <si>
    <t xml:space="preserve">Quantity</t>
  </si>
  <si>
    <t xml:space="preserve">Unit_Price</t>
  </si>
  <si>
    <t xml:space="preserve">Payment_Method</t>
  </si>
  <si>
    <t xml:space="preserve">Region</t>
  </si>
  <si>
    <t xml:space="preserve">Customer_Segment</t>
  </si>
  <si>
    <t xml:space="preserve">Customer_Since</t>
  </si>
  <si>
    <t xml:space="preserve">Total_Amount</t>
  </si>
  <si>
    <t xml:space="preserve">Days Ago (DATEDIF)</t>
  </si>
  <si>
    <t xml:space="preserve">Month End (EOMONTH)</t>
  </si>
  <si>
    <t xml:space="preserve">Filter Helper</t>
  </si>
  <si>
    <t xml:space="preserve">TRX0155</t>
  </si>
  <si>
    <t xml:space="preserve">CUST023</t>
  </si>
  <si>
    <t xml:space="preserve">Paul Baker</t>
  </si>
  <si>
    <t xml:space="preserve">P009</t>
  </si>
  <si>
    <t xml:space="preserve">Monitor</t>
  </si>
  <si>
    <t xml:space="preserve">Electronics</t>
  </si>
  <si>
    <t xml:space="preserve">Cash</t>
  </si>
  <si>
    <t xml:space="preserve">Central</t>
  </si>
  <si>
    <t xml:space="preserve">Basic</t>
  </si>
  <si>
    <t xml:space="preserve">TRX0023</t>
  </si>
  <si>
    <t xml:space="preserve">CUST013</t>
  </si>
  <si>
    <t xml:space="preserve">Joseph Jackson</t>
  </si>
  <si>
    <t xml:space="preserve">Credit Card</t>
  </si>
  <si>
    <t xml:space="preserve">Premium</t>
  </si>
  <si>
    <t xml:space="preserve">TRX0139</t>
  </si>
  <si>
    <t xml:space="preserve">CUST021</t>
  </si>
  <si>
    <t xml:space="preserve">Kevin Scott</t>
  </si>
  <si>
    <t xml:space="preserve">P005</t>
  </si>
  <si>
    <t xml:space="preserve">Blender</t>
  </si>
  <si>
    <t xml:space="preserve">Appliances</t>
  </si>
  <si>
    <t xml:space="preserve">PayPal</t>
  </si>
  <si>
    <t xml:space="preserve">South</t>
  </si>
  <si>
    <t xml:space="preserve">Standard</t>
  </si>
  <si>
    <t xml:space="preserve">TRX0043</t>
  </si>
  <si>
    <t xml:space="preserve">CUST046</t>
  </si>
  <si>
    <t xml:space="preserve">Kathleen Bennett</t>
  </si>
  <si>
    <t xml:space="preserve">North</t>
  </si>
  <si>
    <t xml:space="preserve">TRX0212</t>
  </si>
  <si>
    <t xml:space="preserve">CUST003</t>
  </si>
  <si>
    <t xml:space="preserve">Michael Brown</t>
  </si>
  <si>
    <t xml:space="preserve">P008</t>
  </si>
  <si>
    <t xml:space="preserve">Bookshelf</t>
  </si>
  <si>
    <t xml:space="preserve">Furniture</t>
  </si>
  <si>
    <t xml:space="preserve">TRX0092</t>
  </si>
  <si>
    <t xml:space="preserve">CUST024</t>
  </si>
  <si>
    <t xml:space="preserve">Dorothy Nelson</t>
  </si>
  <si>
    <t xml:space="preserve">West</t>
  </si>
  <si>
    <t xml:space="preserve">TRX0193</t>
  </si>
  <si>
    <t xml:space="preserve">P003</t>
  </si>
  <si>
    <t xml:space="preserve">Headphones</t>
  </si>
  <si>
    <t xml:space="preserve">TRX0240</t>
  </si>
  <si>
    <t xml:space="preserve">CUST017</t>
  </si>
  <si>
    <t xml:space="preserve">Charles Allen</t>
  </si>
  <si>
    <t xml:space="preserve">Debit Card</t>
  </si>
  <si>
    <t xml:space="preserve">TRX0135</t>
  </si>
  <si>
    <t xml:space="preserve">CUST009</t>
  </si>
  <si>
    <t xml:space="preserve">Robert Thomas</t>
  </si>
  <si>
    <t xml:space="preserve">P001</t>
  </si>
  <si>
    <t xml:space="preserve">Laptop</t>
  </si>
  <si>
    <t xml:space="preserve">East</t>
  </si>
  <si>
    <t xml:space="preserve">TRX0185</t>
  </si>
  <si>
    <t xml:space="preserve">CUST026</t>
  </si>
  <si>
    <t xml:space="preserve">Karen Hill</t>
  </si>
  <si>
    <t xml:space="preserve">TRX0138</t>
  </si>
  <si>
    <t xml:space="preserve">CUST022</t>
  </si>
  <si>
    <t xml:space="preserve">Susan Green</t>
  </si>
  <si>
    <t xml:space="preserve">TRX0209</t>
  </si>
  <si>
    <t xml:space="preserve">TRX0246</t>
  </si>
  <si>
    <t xml:space="preserve">CUST041</t>
  </si>
  <si>
    <t xml:space="preserve">Peter Richardson</t>
  </si>
  <si>
    <t xml:space="preserve">TRX0067</t>
  </si>
  <si>
    <t xml:space="preserve">CUST043</t>
  </si>
  <si>
    <t xml:space="preserve">Dennis Gray</t>
  </si>
  <si>
    <t xml:space="preserve">TRX0191</t>
  </si>
  <si>
    <t xml:space="preserve">CUST038</t>
  </si>
  <si>
    <t xml:space="preserve">Michelle Rogers</t>
  </si>
  <si>
    <t xml:space="preserve">P002</t>
  </si>
  <si>
    <t xml:space="preserve">Smartphone</t>
  </si>
  <si>
    <t xml:space="preserve">TRX0230</t>
  </si>
  <si>
    <t xml:space="preserve">CUST027</t>
  </si>
  <si>
    <t xml:space="preserve">George Adams</t>
  </si>
  <si>
    <t xml:space="preserve">TRX0049</t>
  </si>
  <si>
    <t xml:space="preserve">CUST025</t>
  </si>
  <si>
    <t xml:space="preserve">Mark Carter</t>
  </si>
  <si>
    <t xml:space="preserve">TRX0134</t>
  </si>
  <si>
    <t xml:space="preserve">CUST010</t>
  </si>
  <si>
    <t xml:space="preserve">Maria Garcia</t>
  </si>
  <si>
    <t xml:space="preserve">TRX0122</t>
  </si>
  <si>
    <t xml:space="preserve">TRX0222</t>
  </si>
  <si>
    <t xml:space="preserve">CUST048</t>
  </si>
  <si>
    <t xml:space="preserve">Virginia Sanders</t>
  </si>
  <si>
    <t xml:space="preserve">TRX0231</t>
  </si>
  <si>
    <t xml:space="preserve">CUST018</t>
  </si>
  <si>
    <t xml:space="preserve">Barbara Young</t>
  </si>
  <si>
    <t xml:space="preserve">TRX0239</t>
  </si>
  <si>
    <t xml:space="preserve">CUST012</t>
  </si>
  <si>
    <t xml:space="preserve">Patricia Moore</t>
  </si>
  <si>
    <t xml:space="preserve">TRX0204</t>
  </si>
  <si>
    <t xml:space="preserve">CUST044</t>
  </si>
  <si>
    <t xml:space="preserve">Cynthia Price</t>
  </si>
  <si>
    <t xml:space="preserve">TRX0242</t>
  </si>
  <si>
    <t xml:space="preserve">P007</t>
  </si>
  <si>
    <t xml:space="preserve">Desk</t>
  </si>
  <si>
    <t xml:space="preserve">TRX0071</t>
  </si>
  <si>
    <t xml:space="preserve">CUST036</t>
  </si>
  <si>
    <t xml:space="preserve">Nancy Collins</t>
  </si>
  <si>
    <t xml:space="preserve">TRX0040</t>
  </si>
  <si>
    <t xml:space="preserve">TRX0235</t>
  </si>
  <si>
    <t xml:space="preserve">CUST014</t>
  </si>
  <si>
    <t xml:space="preserve">Linda Martin</t>
  </si>
  <si>
    <t xml:space="preserve">P004</t>
  </si>
  <si>
    <t xml:space="preserve">Coffee Maker</t>
  </si>
  <si>
    <t xml:space="preserve">TRX0004</t>
  </si>
  <si>
    <t xml:space="preserve">P010</t>
  </si>
  <si>
    <t xml:space="preserve">Keyboard</t>
  </si>
  <si>
    <t xml:space="preserve">TRX0063</t>
  </si>
  <si>
    <t xml:space="preserve">CUST030</t>
  </si>
  <si>
    <t xml:space="preserve">Helen Roberts</t>
  </si>
  <si>
    <t xml:space="preserve">TRX0241</t>
  </si>
  <si>
    <t xml:space="preserve">CUST029</t>
  </si>
  <si>
    <t xml:space="preserve">Edward Mitchell</t>
  </si>
  <si>
    <t xml:space="preserve">TRX0029</t>
  </si>
  <si>
    <t xml:space="preserve">P006</t>
  </si>
  <si>
    <t xml:space="preserve">Office Chair</t>
  </si>
  <si>
    <t xml:space="preserve">TRX0194</t>
  </si>
  <si>
    <t xml:space="preserve">CUST006</t>
  </si>
  <si>
    <t xml:space="preserve">Lisa Anderson</t>
  </si>
  <si>
    <t xml:space="preserve">TRX0130</t>
  </si>
  <si>
    <t xml:space="preserve">CUST002</t>
  </si>
  <si>
    <t xml:space="preserve">Emma Wilson</t>
  </si>
  <si>
    <t xml:space="preserve">TRX0041</t>
  </si>
  <si>
    <t xml:space="preserve">TRX0232</t>
  </si>
  <si>
    <t xml:space="preserve">TRX0021</t>
  </si>
  <si>
    <t xml:space="preserve">TRX0245</t>
  </si>
  <si>
    <t xml:space="preserve">CUST031</t>
  </si>
  <si>
    <t xml:space="preserve">Steven Turner</t>
  </si>
  <si>
    <t xml:space="preserve">TRX0015</t>
  </si>
  <si>
    <t xml:space="preserve">CUST008</t>
  </si>
  <si>
    <t xml:space="preserve">Jennifer Taylor</t>
  </si>
  <si>
    <t xml:space="preserve">TRX0202</t>
  </si>
  <si>
    <t xml:space="preserve">CUST035</t>
  </si>
  <si>
    <t xml:space="preserve">Harry Morgan</t>
  </si>
  <si>
    <t xml:space="preserve">TRX0042</t>
  </si>
  <si>
    <t xml:space="preserve">CUST019</t>
  </si>
  <si>
    <t xml:space="preserve">Daniel King</t>
  </si>
  <si>
    <t xml:space="preserve">TRX0128</t>
  </si>
  <si>
    <t xml:space="preserve">CUST040</t>
  </si>
  <si>
    <t xml:space="preserve">Sharon Butler</t>
  </si>
  <si>
    <t xml:space="preserve">TRX0117</t>
  </si>
  <si>
    <t xml:space="preserve">TRX0208</t>
  </si>
  <si>
    <t xml:space="preserve">CUST004</t>
  </si>
  <si>
    <t xml:space="preserve">Sarah Davis</t>
  </si>
  <si>
    <t xml:space="preserve">TRX0234</t>
  </si>
  <si>
    <t xml:space="preserve">TRX0121</t>
  </si>
  <si>
    <t xml:space="preserve">CUST028</t>
  </si>
  <si>
    <t xml:space="preserve">Betty Campbell</t>
  </si>
  <si>
    <t xml:space="preserve">TRX0220</t>
  </si>
  <si>
    <t xml:space="preserve">TRX0093</t>
  </si>
  <si>
    <t xml:space="preserve">CUST050</t>
  </si>
  <si>
    <t xml:space="preserve">Julie Foster</t>
  </si>
  <si>
    <t xml:space="preserve">TRX0088</t>
  </si>
  <si>
    <t xml:space="preserve">TRX0115</t>
  </si>
  <si>
    <t xml:space="preserve">TRX0154</t>
  </si>
  <si>
    <t xml:space="preserve">TRX0044</t>
  </si>
  <si>
    <t xml:space="preserve">TRX0061</t>
  </si>
  <si>
    <t xml:space="preserve">TRX0150</t>
  </si>
  <si>
    <t xml:space="preserve">TRX0025</t>
  </si>
  <si>
    <t xml:space="preserve">CUST049</t>
  </si>
  <si>
    <t xml:space="preserve">Raymond Ross</t>
  </si>
  <si>
    <t xml:space="preserve">TRX0078</t>
  </si>
  <si>
    <t xml:space="preserve">TRX0007</t>
  </si>
  <si>
    <t xml:space="preserve">TRX0184</t>
  </si>
  <si>
    <t xml:space="preserve">TRX0104</t>
  </si>
  <si>
    <t xml:space="preserve">TRX0127</t>
  </si>
  <si>
    <t xml:space="preserve">TRX0096</t>
  </si>
  <si>
    <t xml:space="preserve">TRX0192</t>
  </si>
  <si>
    <t xml:space="preserve">TRX0052</t>
  </si>
  <si>
    <t xml:space="preserve">TRX0070</t>
  </si>
  <si>
    <t xml:space="preserve">CUST007</t>
  </si>
  <si>
    <t xml:space="preserve">David Martinez</t>
  </si>
  <si>
    <t xml:space="preserve">TRX0086</t>
  </si>
  <si>
    <t xml:space="preserve">CUST020</t>
  </si>
  <si>
    <t xml:space="preserve">Margaret Wright</t>
  </si>
  <si>
    <t xml:space="preserve">TRX0113</t>
  </si>
  <si>
    <t xml:space="preserve">TRX0114</t>
  </si>
  <si>
    <t xml:space="preserve">TRX0136</t>
  </si>
  <si>
    <t xml:space="preserve">TRX0018</t>
  </si>
  <si>
    <t xml:space="preserve">TRX0141</t>
  </si>
  <si>
    <t xml:space="preserve">CUST033</t>
  </si>
  <si>
    <t xml:space="preserve">Frank Torres</t>
  </si>
  <si>
    <t xml:space="preserve">TRX0097</t>
  </si>
  <si>
    <t xml:space="preserve">TRX0169</t>
  </si>
  <si>
    <t xml:space="preserve">CUST047</t>
  </si>
  <si>
    <t xml:space="preserve">Gerald Murphy</t>
  </si>
  <si>
    <t xml:space="preserve">TRX0216</t>
  </si>
  <si>
    <t xml:space="preserve">TRX0131</t>
  </si>
  <si>
    <t xml:space="preserve">TRX0162</t>
  </si>
  <si>
    <t xml:space="preserve">TRX0244</t>
  </si>
  <si>
    <t xml:space="preserve">TRX0006</t>
  </si>
  <si>
    <t xml:space="preserve">TRX0215</t>
  </si>
  <si>
    <t xml:space="preserve">TRX0080</t>
  </si>
  <si>
    <t xml:space="preserve">TRX0228</t>
  </si>
  <si>
    <t xml:space="preserve">TRX0157</t>
  </si>
  <si>
    <t xml:space="preserve">TRX0002</t>
  </si>
  <si>
    <t xml:space="preserve">TRX0217</t>
  </si>
  <si>
    <t xml:space="preserve">TRX0249</t>
  </si>
  <si>
    <t xml:space="preserve">TRX0065</t>
  </si>
  <si>
    <t xml:space="preserve">CUST016</t>
  </si>
  <si>
    <t xml:space="preserve">Elizabeth Hall</t>
  </si>
  <si>
    <t xml:space="preserve">TRX0176</t>
  </si>
  <si>
    <t xml:space="preserve">TRX0101</t>
  </si>
  <si>
    <t xml:space="preserve">TRX0205</t>
  </si>
  <si>
    <t xml:space="preserve">TRX0020</t>
  </si>
  <si>
    <t xml:space="preserve">TRX0075</t>
  </si>
  <si>
    <t xml:space="preserve">TRX0098</t>
  </si>
  <si>
    <t xml:space="preserve">TRX0247</t>
  </si>
  <si>
    <t xml:space="preserve">TRX0027</t>
  </si>
  <si>
    <t xml:space="preserve">TRX0140</t>
  </si>
  <si>
    <t xml:space="preserve">TRX0132</t>
  </si>
  <si>
    <t xml:space="preserve">TRX0031</t>
  </si>
  <si>
    <t xml:space="preserve">TRX0236</t>
  </si>
  <si>
    <t xml:space="preserve">TRX0001</t>
  </si>
  <si>
    <t xml:space="preserve">CUST039</t>
  </si>
  <si>
    <t xml:space="preserve">Lawrence Reed</t>
  </si>
  <si>
    <t xml:space="preserve">TRX0037</t>
  </si>
  <si>
    <t xml:space="preserve">TRX0058</t>
  </si>
  <si>
    <t xml:space="preserve">TRX0170</t>
  </si>
  <si>
    <t xml:space="preserve">CUST034</t>
  </si>
  <si>
    <t xml:space="preserve">Carol Evans</t>
  </si>
  <si>
    <t xml:space="preserve">TRX0248</t>
  </si>
  <si>
    <t xml:space="preserve">CUST032</t>
  </si>
  <si>
    <t xml:space="preserve">Sandra Phillips</t>
  </si>
  <si>
    <t xml:space="preserve">TRX0099</t>
  </si>
  <si>
    <t xml:space="preserve">TRX0074</t>
  </si>
  <si>
    <t xml:space="preserve">TRX0225</t>
  </si>
  <si>
    <t xml:space="preserve">TRX0100</t>
  </si>
  <si>
    <t xml:space="preserve">TRX0142</t>
  </si>
  <si>
    <t xml:space="preserve">TRX0112</t>
  </si>
  <si>
    <t xml:space="preserve">TRX0161</t>
  </si>
  <si>
    <t xml:space="preserve">TRX0108</t>
  </si>
  <si>
    <t xml:space="preserve">TRX0211</t>
  </si>
  <si>
    <t xml:space="preserve">TRX0005</t>
  </si>
  <si>
    <t xml:space="preserve">CUST042</t>
  </si>
  <si>
    <t xml:space="preserve">Ruth Brooks</t>
  </si>
  <si>
    <t xml:space="preserve">TRX0195</t>
  </si>
  <si>
    <t xml:space="preserve">TRX0054</t>
  </si>
  <si>
    <t xml:space="preserve">TRX0077</t>
  </si>
  <si>
    <t xml:space="preserve">TRX0111</t>
  </si>
  <si>
    <t xml:space="preserve">CUST011</t>
  </si>
  <si>
    <t xml:space="preserve">William White</t>
  </si>
  <si>
    <t xml:space="preserve">TRX0123</t>
  </si>
  <si>
    <t xml:space="preserve">TRX0177</t>
  </si>
  <si>
    <t xml:space="preserve">TRX0119</t>
  </si>
  <si>
    <t xml:space="preserve">TRX0181</t>
  </si>
  <si>
    <t xml:space="preserve">TRX0129</t>
  </si>
  <si>
    <t xml:space="preserve">CUST015</t>
  </si>
  <si>
    <t xml:space="preserve">Richard Lee</t>
  </si>
  <si>
    <t xml:space="preserve">TRX0174</t>
  </si>
  <si>
    <t xml:space="preserve">TRX0146</t>
  </si>
  <si>
    <t xml:space="preserve">TRX0203</t>
  </si>
  <si>
    <t xml:space="preserve">TRX0055</t>
  </si>
  <si>
    <t xml:space="preserve">TRX0218</t>
  </si>
  <si>
    <t xml:space="preserve">TRX0085</t>
  </si>
  <si>
    <t xml:space="preserve">TRX0158</t>
  </si>
  <si>
    <t xml:space="preserve">TRX0173</t>
  </si>
  <si>
    <t xml:space="preserve">TRX0034</t>
  </si>
  <si>
    <t xml:space="preserve">TRX0189</t>
  </si>
  <si>
    <t xml:space="preserve">TRX0190</t>
  </si>
  <si>
    <t xml:space="preserve">TRX0079</t>
  </si>
  <si>
    <t xml:space="preserve">TRX0095</t>
  </si>
  <si>
    <t xml:space="preserve">TRX0009</t>
  </si>
  <si>
    <t xml:space="preserve">TRX0167</t>
  </si>
  <si>
    <t xml:space="preserve">TRX0153</t>
  </si>
  <si>
    <t xml:space="preserve">TRX0057</t>
  </si>
  <si>
    <t xml:space="preserve">TRX0017</t>
  </si>
  <si>
    <t xml:space="preserve">TRX0060</t>
  </si>
  <si>
    <t xml:space="preserve">TRX0109</t>
  </si>
  <si>
    <t xml:space="preserve">TRX0090</t>
  </si>
  <si>
    <t xml:space="preserve">TRX0035</t>
  </si>
  <si>
    <t xml:space="preserve">TRX0172</t>
  </si>
  <si>
    <t xml:space="preserve">TRX0076</t>
  </si>
  <si>
    <t xml:space="preserve">TRX0210</t>
  </si>
  <si>
    <t xml:space="preserve">TRX0149</t>
  </si>
  <si>
    <t xml:space="preserve">TRX0073</t>
  </si>
  <si>
    <t xml:space="preserve">TRX0033</t>
  </si>
  <si>
    <t xml:space="preserve">TRX0160</t>
  </si>
  <si>
    <t xml:space="preserve">TRX0145</t>
  </si>
  <si>
    <t xml:space="preserve">TRX0148</t>
  </si>
  <si>
    <t xml:space="preserve">TRX0012</t>
  </si>
  <si>
    <t xml:space="preserve">CUST045</t>
  </si>
  <si>
    <t xml:space="preserve">Douglas Watson</t>
  </si>
  <si>
    <t xml:space="preserve">TRX0206</t>
  </si>
  <si>
    <t xml:space="preserve">TRX0045</t>
  </si>
  <si>
    <t xml:space="preserve">TRX0094</t>
  </si>
  <si>
    <t xml:space="preserve">TRX0133</t>
  </si>
  <si>
    <t xml:space="preserve">TRX0201</t>
  </si>
  <si>
    <t xml:space="preserve">TRX0137</t>
  </si>
  <si>
    <t xml:space="preserve">TRX0066</t>
  </si>
  <si>
    <t xml:space="preserve">TRX0180</t>
  </si>
  <si>
    <t xml:space="preserve">TRX0082</t>
  </si>
  <si>
    <t xml:space="preserve">CUST005</t>
  </si>
  <si>
    <t xml:space="preserve">James Johnson</t>
  </si>
  <si>
    <t xml:space="preserve">TRX0036</t>
  </si>
  <si>
    <t xml:space="preserve">TRX0198</t>
  </si>
  <si>
    <t xml:space="preserve">TRX0032</t>
  </si>
  <si>
    <t xml:space="preserve">TRX0081</t>
  </si>
  <si>
    <t xml:space="preserve">TRX0224</t>
  </si>
  <si>
    <t xml:space="preserve">TRX0028</t>
  </si>
  <si>
    <t xml:space="preserve">TRX0183</t>
  </si>
  <si>
    <t xml:space="preserve">TRX0163</t>
  </si>
  <si>
    <t xml:space="preserve">TRX0046</t>
  </si>
  <si>
    <t xml:space="preserve">TRX0164</t>
  </si>
  <si>
    <t xml:space="preserve">TRX0008</t>
  </si>
  <si>
    <t xml:space="preserve">TRX0171</t>
  </si>
  <si>
    <t xml:space="preserve">TRX0143</t>
  </si>
  <si>
    <t xml:space="preserve">TRX0165</t>
  </si>
  <si>
    <t xml:space="preserve">TRX0156</t>
  </si>
  <si>
    <t xml:space="preserve">TRX0147</t>
  </si>
  <si>
    <t xml:space="preserve">TRX0207</t>
  </si>
  <si>
    <t xml:space="preserve">TRX0056</t>
  </si>
  <si>
    <t xml:space="preserve">TRX0026</t>
  </si>
  <si>
    <t xml:space="preserve">CUST037</t>
  </si>
  <si>
    <t xml:space="preserve">Arthur Edwards</t>
  </si>
  <si>
    <t xml:space="preserve">TRX0237</t>
  </si>
  <si>
    <t xml:space="preserve">TRX0091</t>
  </si>
  <si>
    <t xml:space="preserve">TRX0125</t>
  </si>
  <si>
    <t xml:space="preserve">TRX0223</t>
  </si>
  <si>
    <t xml:space="preserve">TRX0243</t>
  </si>
  <si>
    <t xml:space="preserve">TRX0084</t>
  </si>
  <si>
    <t xml:space="preserve">TRX0238</t>
  </si>
  <si>
    <t xml:space="preserve">TRX0102</t>
  </si>
  <si>
    <t xml:space="preserve">TRX0022</t>
  </si>
  <si>
    <t xml:space="preserve">TRX0087</t>
  </si>
  <si>
    <t xml:space="preserve">TRX0107</t>
  </si>
  <si>
    <t xml:space="preserve">TRX0051</t>
  </si>
  <si>
    <t xml:space="preserve">TRX0106</t>
  </si>
  <si>
    <t xml:space="preserve">TRX0059</t>
  </si>
  <si>
    <t xml:space="preserve">TRX0072</t>
  </si>
  <si>
    <t xml:space="preserve">TRX0110</t>
  </si>
  <si>
    <t xml:space="preserve">TRX0126</t>
  </si>
  <si>
    <t xml:space="preserve">TRX0159</t>
  </si>
  <si>
    <t xml:space="preserve">TRX0030</t>
  </si>
  <si>
    <t xml:space="preserve">TRX0178</t>
  </si>
  <si>
    <t xml:space="preserve">TRX0188</t>
  </si>
  <si>
    <t xml:space="preserve">TRX0010</t>
  </si>
  <si>
    <t xml:space="preserve">TRX0069</t>
  </si>
  <si>
    <t xml:space="preserve">TRX0166</t>
  </si>
  <si>
    <t xml:space="preserve">TRX0219</t>
  </si>
  <si>
    <t xml:space="preserve">TRX0024</t>
  </si>
  <si>
    <t xml:space="preserve">TRX0105</t>
  </si>
  <si>
    <t xml:space="preserve">TRX0011</t>
  </si>
  <si>
    <t xml:space="preserve">TRX0187</t>
  </si>
  <si>
    <t xml:space="preserve">TRX0089</t>
  </si>
  <si>
    <t xml:space="preserve">TRX0196</t>
  </si>
  <si>
    <t xml:space="preserve">TRX0118</t>
  </si>
  <si>
    <t xml:space="preserve">TRX0179</t>
  </si>
  <si>
    <t xml:space="preserve">TRX0168</t>
  </si>
  <si>
    <t xml:space="preserve">TRX0214</t>
  </si>
  <si>
    <t xml:space="preserve">TRX0221</t>
  </si>
  <si>
    <t xml:space="preserve">TRX0083</t>
  </si>
  <si>
    <t xml:space="preserve">TRX0151</t>
  </si>
  <si>
    <t xml:space="preserve">TRX0047</t>
  </si>
  <si>
    <t xml:space="preserve">TRX0200</t>
  </si>
  <si>
    <t xml:space="preserve">TRX0062</t>
  </si>
  <si>
    <t xml:space="preserve">TRX0182</t>
  </si>
  <si>
    <t xml:space="preserve">TRX0229</t>
  </si>
  <si>
    <t xml:space="preserve">TRX0048</t>
  </si>
  <si>
    <t xml:space="preserve">TRX0227</t>
  </si>
  <si>
    <t xml:space="preserve">TRX0226</t>
  </si>
  <si>
    <t xml:space="preserve">TRX0053</t>
  </si>
  <si>
    <t xml:space="preserve">TRX0233</t>
  </si>
  <si>
    <t xml:space="preserve">TRX0175</t>
  </si>
  <si>
    <t xml:space="preserve">TRX0186</t>
  </si>
  <si>
    <t xml:space="preserve">TRX0016</t>
  </si>
  <si>
    <t xml:space="preserve">TRX0199</t>
  </si>
  <si>
    <t xml:space="preserve">TRX0038</t>
  </si>
  <si>
    <t xml:space="preserve">TRX0014</t>
  </si>
  <si>
    <t xml:space="preserve">TRX0003</t>
  </si>
  <si>
    <t xml:space="preserve">TRX0124</t>
  </si>
  <si>
    <t xml:space="preserve">TRX0013</t>
  </si>
  <si>
    <t xml:space="preserve">TRX0019</t>
  </si>
  <si>
    <t xml:space="preserve">TRX0050</t>
  </si>
  <si>
    <t xml:space="preserve">CUST001</t>
  </si>
  <si>
    <t xml:space="preserve">John Smith</t>
  </si>
  <si>
    <t xml:space="preserve">TRX0152</t>
  </si>
  <si>
    <t xml:space="preserve">TRX0213</t>
  </si>
  <si>
    <t xml:space="preserve">TRX0197</t>
  </si>
  <si>
    <t xml:space="preserve">TRX0250</t>
  </si>
  <si>
    <t xml:space="preserve">TRX0068</t>
  </si>
  <si>
    <t xml:space="preserve">TRX0144</t>
  </si>
  <si>
    <t xml:space="preserve">TRX0039</t>
  </si>
  <si>
    <t xml:space="preserve">TRX0116</t>
  </si>
  <si>
    <t xml:space="preserve">TRX0120</t>
  </si>
  <si>
    <t xml:space="preserve">TRX0103</t>
  </si>
  <si>
    <t xml:space="preserve">TRX0064</t>
  </si>
  <si>
    <t xml:space="preserve">Analysis – all formulas are live and read from 'Raw Data'</t>
  </si>
  <si>
    <t xml:space="preserve">1. Date &amp; Time Functions (TODAY, NOW, DATEDIF, EOMONTH)</t>
  </si>
  <si>
    <t xml:space="preserve">Today</t>
  </si>
  <si>
    <t xml:space="preserve">Now (date + time)</t>
  </si>
  <si>
    <t xml:space="preserve">First transaction</t>
  </si>
  <si>
    <t xml:space="preserve">Last transaction</t>
  </si>
  <si>
    <t xml:space="preserve">Days since last transaction</t>
  </si>
  <si>
    <t xml:space="preserve">Months of data (DATEDIF)</t>
  </si>
  <si>
    <t xml:space="preserve">Month-end of last transaction (EOMONTH)</t>
  </si>
  <si>
    <t xml:space="preserve">2. Customers – GroupBy via SUMIFS / COUNTIFS (High-Value, Abbreviations, List Compare)</t>
  </si>
  <si>
    <t xml:space="preserve">High-value threshold (top 25% – 75th percentile)</t>
  </si>
  <si>
    <t xml:space="preserve">Customer</t>
  </si>
  <si>
    <t xml:space="preserve">Abbrev. (TEXT fn)</t>
  </si>
  <si>
    <t xml:space="preserve">Orders</t>
  </si>
  <si>
    <t xml:space="preserve">Total Revenue</t>
  </si>
  <si>
    <t xml:space="preserve">Avg Order</t>
  </si>
  <si>
    <t xml:space="preserve">Rank</t>
  </si>
  <si>
    <t xml:space="preserve">Segment</t>
  </si>
  <si>
    <t xml:space="preserve">In VIP List?</t>
  </si>
  <si>
    <t xml:space="preserve">Reference VIP List</t>
  </si>
  <si>
    <t xml:space="preserve">Matching Names (both lists)</t>
  </si>
  <si>
    <t xml:space="preserve">Zoya Khan</t>
  </si>
  <si>
    <t xml:space="preserve">Dev Anand</t>
  </si>
  <si>
    <t xml:space="preserve">Maya Bose</t>
  </si>
  <si>
    <t xml:space="preserve">Blue = editable input list</t>
  </si>
  <si>
    <t xml:space="preserve">Total</t>
  </si>
  <si>
    <t xml:space="preserve">Top customer</t>
  </si>
  <si>
    <t xml:space="preserve">High-value customers (count)</t>
  </si>
  <si>
    <t xml:space="preserve">3. Products – most frequently purchased</t>
  </si>
  <si>
    <t xml:space="preserve">Product</t>
  </si>
  <si>
    <t xml:space="preserve">Orders (count)</t>
  </si>
  <si>
    <t xml:space="preserve">Units Sold</t>
  </si>
  <si>
    <t xml:space="preserve">Revenue</t>
  </si>
  <si>
    <t xml:space="preserve">Share %</t>
  </si>
  <si>
    <t xml:space="preserve">Most frequently purchased product</t>
  </si>
  <si>
    <t xml:space="preserve">Most units sold</t>
  </si>
  <si>
    <t xml:space="preserve">Highest revenue product</t>
  </si>
  <si>
    <t xml:space="preserve">4. Regional Sales</t>
  </si>
  <si>
    <t xml:space="preserve">Top region</t>
  </si>
  <si>
    <t xml:space="preserve">5. Category, Payment Method &amp; Customer Segment</t>
  </si>
  <si>
    <t xml:space="preserve">Payment Method</t>
  </si>
  <si>
    <t xml:space="preserve">Customer Segment</t>
  </si>
  <si>
    <t xml:space="preserve">6. Monthly Trend (EOMONTH / EDATE)</t>
  </si>
  <si>
    <t xml:space="preserve">Monthly target = avg of full months × 1.05 (assumption; Apr-24 and Apr-25 are partial months)</t>
  </si>
  <si>
    <t xml:space="preserve">Target →</t>
  </si>
  <si>
    <t xml:space="preserve">Month Start</t>
  </si>
  <si>
    <t xml:space="preserve">Month End</t>
  </si>
  <si>
    <t xml:space="preserve">Target</t>
  </si>
  <si>
    <t xml:space="preserve">MoM Change</t>
  </si>
  <si>
    <t xml:space="preserve">FILTER-style multi-value return (works in every Excel version)</t>
  </si>
  <si>
    <t xml:space="preserve">Pick a region →</t>
  </si>
  <si>
    <t xml:space="preserve">Shows first 25 matches. Excel 365 alternative: =FILTER('Raw Data'!A2:N251,'Raw Data'!K2:K251=B2)</t>
  </si>
  <si>
    <t xml:space="preserve">Matching transactions</t>
  </si>
  <si>
    <t xml:space="preserve">Revenue for region</t>
  </si>
  <si>
    <t xml:space="preserve">#</t>
  </si>
  <si>
    <t xml:space="preserve">Transaction ID</t>
  </si>
  <si>
    <t xml:space="preserve">Total Amount</t>
  </si>
  <si>
    <t xml:space="preserve">What-If Analysis – Scenario Manager &amp; Goal Seek</t>
  </si>
  <si>
    <t xml:space="preserve">Assumption</t>
  </si>
  <si>
    <t xml:space="preserve">Value</t>
  </si>
  <si>
    <t xml:space="preserve">Baseline revenue ($)</t>
  </si>
  <si>
    <t xml:space="preserve">Price change %</t>
  </si>
  <si>
    <t xml:space="preserve">Volume change %</t>
  </si>
  <si>
    <t xml:space="preserve">Discount %</t>
  </si>
  <si>
    <t xml:space="preserve">Scenario revenue ($)</t>
  </si>
  <si>
    <t xml:space="preserve">Change vs baseline ($)</t>
  </si>
  <si>
    <t xml:space="preserve">Scenario comparison (or build with Data &gt; What-If &gt; Scenario Manager)</t>
  </si>
  <si>
    <t xml:space="preserve">Scenario</t>
  </si>
  <si>
    <t xml:space="preserve">Price %</t>
  </si>
  <si>
    <t xml:space="preserve">Volume %</t>
  </si>
  <si>
    <t xml:space="preserve">Revenue ($)</t>
  </si>
  <si>
    <t xml:space="preserve">Best case</t>
  </si>
  <si>
    <t xml:space="preserve">Base case</t>
  </si>
  <si>
    <t xml:space="preserve">Worst case</t>
  </si>
  <si>
    <t xml:space="preserve">Goal Seek</t>
  </si>
  <si>
    <t xml:space="preserve">Target revenue ($) = baseline +10%</t>
  </si>
  <si>
    <t xml:space="preserve">Required price change (closed-form check)</t>
  </si>
  <si>
    <t xml:space="preserve">Run Goal Seek: Data &gt; What-If Analysis &gt; Goal Seek → Set cell B8, To value = B18, By changing B5. Result should match B19.</t>
  </si>
  <si>
    <t xml:space="preserve">Linear Regression: Quantity (X) → Total Amount (Y)</t>
  </si>
  <si>
    <t xml:space="preserve">Statistic</t>
  </si>
  <si>
    <t xml:space="preserve">Slope ($ per extra unit)</t>
  </si>
  <si>
    <t xml:space="preserve">Intercept</t>
  </si>
  <si>
    <t xml:space="preserve">R²</t>
  </si>
  <si>
    <t xml:space="preserve">Correlation (r)</t>
  </si>
  <si>
    <t xml:space="preserve">Std. error of estimate</t>
  </si>
  <si>
    <t xml:space="preserve">Observations</t>
  </si>
  <si>
    <t xml:space="preserve">Predict revenue for quantity →</t>
  </si>
  <si>
    <t xml:space="preserve">Predicted revenue</t>
  </si>
  <si>
    <t xml:space="preserve">Also run: Data &gt; Data Analysis &gt; Regression (Y = Raw Data N2:N251, X = H2:H251). See Guide sheet.</t>
  </si>
  <si>
    <t xml:space="preserve">Visualizations (all charts linked to the Analysis sheet)</t>
  </si>
  <si>
    <t xml:space="preserve">Final Report – Insights &amp; Storytelling (text updates automatically)</t>
  </si>
  <si>
    <t xml:space="preserve">Headline</t>
  </si>
  <si>
    <t xml:space="preserve">Customers</t>
  </si>
  <si>
    <t xml:space="preserve">Products</t>
  </si>
  <si>
    <t xml:space="preserve">Regions</t>
  </si>
  <si>
    <t xml:space="preserve">Trend</t>
  </si>
  <si>
    <t xml:space="preserve">Relationship</t>
  </si>
  <si>
    <t xml:space="preserve">Recommendation</t>
  </si>
  <si>
    <t xml:space="preserve">Focus retention on High-Value customers, keep the best-selling products in stock, and push campaigns in the weakest regions and months flagged red on the Analysis sheet.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</si>
</sst>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dd\-mmm\-yyyy"/>
    <numFmt numFmtId="166" formatCode="#,##0"/>
    <numFmt numFmtId="167" formatCode="\$#,##0"/>
    <numFmt numFmtId="168" formatCode="\$#,##0.00"/>
    <numFmt numFmtId="169" formatCode="0"/>
    <numFmt numFmtId="170" formatCode="0.0%"/>
    <numFmt numFmtId="171" formatCode="yyyy\-mm\-dd"/>
    <numFmt numFmtId="172" formatCode="0.00"/>
    <numFmt numFmtId="173" formatCode="dd\-mmm\-yyyy\ hh:mm"/>
    <numFmt numFmtId="174" formatCode="mmm\-yy"/>
    <numFmt numFmtId="175" formatCode="dd\-mmm\-yy"/>
    <numFmt numFmtId="176" formatCode="0.00%"/>
    <numFmt numFmtId="177" formatCode="0.0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4286B"/>
      <name val="Arial"/>
      <family val="0"/>
      <charset val="1"/>
    </font>
    <font>
      <b val="true"/>
      <sz val="48"/>
      <color rgb="FFFFFFFF"/>
      <name val="Arial"/>
      <family val="0"/>
      <charset val="1"/>
    </font>
    <font>
      <b val="true"/>
      <sz val="48"/>
      <color rgb="FF14286B"/>
      <name val="Arial"/>
      <family val="0"/>
      <charset val="1"/>
    </font>
    <font>
      <b val="true"/>
      <sz val="48"/>
      <color rgb="FF2F5FC4"/>
      <name val="Arial"/>
      <family val="0"/>
      <charset val="1"/>
    </font>
    <font>
      <b val="true"/>
      <sz val="12"/>
      <color rgb="FF14286B"/>
      <name val="Arial"/>
      <family val="0"/>
      <charset val="1"/>
    </font>
    <font>
      <b val="true"/>
      <sz val="20"/>
      <color rgb="FF14286B"/>
      <name val="Arial"/>
      <family val="0"/>
      <charset val="1"/>
    </font>
    <font>
      <b val="true"/>
      <sz val="13"/>
      <color rgb="FF14286B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i val="true"/>
      <sz val="18"/>
      <color rgb="FF14286B"/>
      <name val="Georg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Calibri"/>
      <family val="2"/>
    </font>
    <font>
      <sz val="40"/>
      <color rgb="FFFFFFFF"/>
      <name val="Segoe UI Emoj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C9D8F5"/>
        <bgColor rgb="FFD9E2F3"/>
      </patternFill>
    </fill>
    <fill>
      <patternFill patternType="solid">
        <fgColor rgb="FFEAF0FB"/>
        <bgColor rgb="FFD9E2F3"/>
      </patternFill>
    </fill>
    <fill>
      <patternFill patternType="solid">
        <fgColor rgb="FF107C41"/>
        <bgColor rgb="FF006100"/>
      </patternFill>
    </fill>
    <fill>
      <patternFill patternType="solid">
        <fgColor rgb="FF2F5FC4"/>
        <bgColor rgb="FF2F5597"/>
      </patternFill>
    </fill>
    <fill>
      <patternFill patternType="solid">
        <fgColor rgb="FF14286B"/>
        <bgColor rgb="FF1F3864"/>
      </patternFill>
    </fill>
    <fill>
      <patternFill patternType="solid">
        <fgColor rgb="FF1F3864"/>
        <bgColor rgb="FF14286B"/>
      </patternFill>
    </fill>
    <fill>
      <patternFill patternType="solid">
        <fgColor rgb="FF2F5597"/>
        <bgColor rgb="FF2F5FC4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EAF0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b val="1"/>
        <color rgb="FFC00000"/>
        <sz val="16"/>
      </font>
    </dxf>
    <dxf>
      <font>
        <name val="Arial"/>
        <charset val="1"/>
        <family val="0"/>
        <b val="1"/>
        <color rgb="FF006100"/>
        <sz val="16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AA64F"/>
      <rgbColor rgb="FF800080"/>
      <rgbColor rgb="FF107C41"/>
      <rgbColor rgb="FFBFBFBF"/>
      <rgbColor rgb="FF878787"/>
      <rgbColor rgb="FF93A9CE"/>
      <rgbColor rgb="FFAB4744"/>
      <rgbColor rgb="FFFFF2CC"/>
      <rgbColor rgb="FFEAF0FB"/>
      <rgbColor rgb="FF660066"/>
      <rgbColor rgb="FFDC853E"/>
      <rgbColor rgb="FF0563C1"/>
      <rgbColor rgb="FFC9D8F5"/>
      <rgbColor rgb="FF000080"/>
      <rgbColor rgb="FFFF00FF"/>
      <rgbColor rgb="FFFFFF00"/>
      <rgbColor rgb="FF00FFFF"/>
      <rgbColor rgb="FF800080"/>
      <rgbColor rgb="FF800000"/>
      <rgbColor rgb="FF4672A8"/>
      <rgbColor rgb="FF0000FF"/>
      <rgbColor rgb="FF4A7EBB"/>
      <rgbColor rgb="FFD9E2F3"/>
      <rgbColor rgb="FFC6EFCE"/>
      <rgbColor rgb="FFD9D9D9"/>
      <rgbColor rgb="FFB8CD97"/>
      <rgbColor rgb="FFD09493"/>
      <rgbColor rgb="FFCC99FF"/>
      <rgbColor rgb="FFFFC7CE"/>
      <rgbColor rgb="FF2F5FC4"/>
      <rgbColor rgb="FF4F81BD"/>
      <rgbColor rgb="FF99CC00"/>
      <rgbColor rgb="FFFFCC00"/>
      <rgbColor rgb="FFFF9900"/>
      <rgbColor rgb="FFFF6600"/>
      <rgbColor rgb="FF725990"/>
      <rgbColor rgb="FFA99BBD"/>
      <rgbColor rgb="FF14286B"/>
      <rgbColor rgb="FF4299B0"/>
      <rgbColor rgb="FF003300"/>
      <rgbColor rgb="FF333300"/>
      <rgbColor rgb="FF993300"/>
      <rgbColor rgb="FFBE4B48"/>
      <rgbColor rgb="FF2F5597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Analysis!$A$87:$A$91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Analysis!$C$87:$C$91</c:f>
              <c:numCache>
                <c:formatCode>\$#,##0</c:formatCode>
                <c:ptCount val="5"/>
                <c:pt idx="0">
                  <c:v>41288.34</c:v>
                </c:pt>
                <c:pt idx="1">
                  <c:v>59288.39</c:v>
                </c:pt>
                <c:pt idx="2">
                  <c:v>50808.31</c:v>
                </c:pt>
                <c:pt idx="3">
                  <c:v>36398.75</c:v>
                </c:pt>
                <c:pt idx="4">
                  <c:v>41408.68</c:v>
                </c:pt>
              </c:numCache>
            </c:numRef>
          </c:val>
        </c:ser>
        <c:gapWidth val="150"/>
        <c:overlap val="0"/>
        <c:axId val="18318004"/>
        <c:axId val="77087512"/>
      </c:barChart>
      <c:catAx>
        <c:axId val="18318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87512"/>
        <c:crosses val="autoZero"/>
        <c:auto val="1"/>
        <c:lblAlgn val="ctr"/>
        <c:lblOffset val="100"/>
        <c:noMultiLvlLbl val="0"/>
      </c:catAx>
      <c:valAx>
        <c:axId val="770875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180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Analysis!C115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Analysis!$A$116:$A$128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Analysis!$C$116:$C$128</c:f>
              <c:numCache>
                <c:formatCode>\$#,##0</c:formatCode>
                <c:ptCount val="13"/>
                <c:pt idx="0">
                  <c:v>20919.33</c:v>
                </c:pt>
                <c:pt idx="1">
                  <c:v>17039.35</c:v>
                </c:pt>
                <c:pt idx="2">
                  <c:v>19299.45</c:v>
                </c:pt>
                <c:pt idx="3">
                  <c:v>18479.4</c:v>
                </c:pt>
                <c:pt idx="4">
                  <c:v>15759.43</c:v>
                </c:pt>
                <c:pt idx="5">
                  <c:v>12989.51</c:v>
                </c:pt>
                <c:pt idx="6">
                  <c:v>20609.52</c:v>
                </c:pt>
                <c:pt idx="7">
                  <c:v>12309.44</c:v>
                </c:pt>
                <c:pt idx="8">
                  <c:v>23039.3</c:v>
                </c:pt>
                <c:pt idx="9">
                  <c:v>25799.15</c:v>
                </c:pt>
                <c:pt idx="10">
                  <c:v>16069.38</c:v>
                </c:pt>
                <c:pt idx="11">
                  <c:v>19899.38</c:v>
                </c:pt>
                <c:pt idx="12">
                  <c:v>6979.83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Analysis!E115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Analysis!$A$116:$A$128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Analysis!$E$116:$E$128</c:f>
              <c:numCache>
                <c:formatCode>\$#,##0</c:formatCode>
                <c:ptCount val="13"/>
                <c:pt idx="0">
                  <c:v>19214.3614090909</c:v>
                </c:pt>
                <c:pt idx="1">
                  <c:v>19214.3614090909</c:v>
                </c:pt>
                <c:pt idx="2">
                  <c:v>19214.3614090909</c:v>
                </c:pt>
                <c:pt idx="3">
                  <c:v>19214.3614090909</c:v>
                </c:pt>
                <c:pt idx="4">
                  <c:v>19214.3614090909</c:v>
                </c:pt>
                <c:pt idx="5">
                  <c:v>19214.3614090909</c:v>
                </c:pt>
                <c:pt idx="6">
                  <c:v>19214.3614090909</c:v>
                </c:pt>
                <c:pt idx="7">
                  <c:v>19214.3614090909</c:v>
                </c:pt>
                <c:pt idx="8">
                  <c:v>19214.3614090909</c:v>
                </c:pt>
                <c:pt idx="9">
                  <c:v>19214.3614090909</c:v>
                </c:pt>
                <c:pt idx="10">
                  <c:v>19214.3614090909</c:v>
                </c:pt>
                <c:pt idx="11">
                  <c:v>19214.3614090909</c:v>
                </c:pt>
                <c:pt idx="12">
                  <c:v>19214.3614090909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324883"/>
        <c:axId val="86687758"/>
      </c:lineChart>
      <c:catAx>
        <c:axId val="6532488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87758"/>
        <c:crosses val="autoZero"/>
        <c:auto val="1"/>
        <c:lblAlgn val="ctr"/>
        <c:lblOffset val="100"/>
        <c:noMultiLvlLbl val="0"/>
      </c:catAx>
      <c:valAx>
        <c:axId val="866877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248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Analysis!$A$70:$A$79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Coffee Maker</c:v>
                </c:pt>
                <c:pt idx="4">
                  <c:v>Blender</c:v>
                </c:pt>
                <c:pt idx="5">
                  <c:v>Office Chair</c:v>
                </c:pt>
                <c:pt idx="6">
                  <c:v>Desk</c:v>
                </c:pt>
                <c:pt idx="7">
                  <c:v>Bookshelf</c:v>
                </c:pt>
                <c:pt idx="8">
                  <c:v>Monitor</c:v>
                </c:pt>
                <c:pt idx="9">
                  <c:v>Keyboard</c:v>
                </c:pt>
              </c:strCache>
            </c:strRef>
          </c:cat>
          <c:val>
            <c:numRef>
              <c:f>Analysis!$E$70:$E$79</c:f>
              <c:numCache>
                <c:formatCode>\$#,##0</c:formatCode>
                <c:ptCount val="10"/>
                <c:pt idx="0">
                  <c:v>67499.25</c:v>
                </c:pt>
                <c:pt idx="1">
                  <c:v>67199.04</c:v>
                </c:pt>
                <c:pt idx="2">
                  <c:v>7049.53</c:v>
                </c:pt>
                <c:pt idx="3">
                  <c:v>3119.61</c:v>
                </c:pt>
                <c:pt idx="4">
                  <c:v>5219.13</c:v>
                </c:pt>
                <c:pt idx="5">
                  <c:v>10399.48</c:v>
                </c:pt>
                <c:pt idx="6">
                  <c:v>23399.22</c:v>
                </c:pt>
                <c:pt idx="7">
                  <c:v>15298.98</c:v>
                </c:pt>
                <c:pt idx="8">
                  <c:v>21999.12</c:v>
                </c:pt>
                <c:pt idx="9">
                  <c:v>8009.11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Analysis!$A$87:$A$91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Analysis!$C$87:$C$91</c:f>
              <c:numCache>
                <c:formatCode>\$#,##0</c:formatCode>
                <c:ptCount val="5"/>
                <c:pt idx="0">
                  <c:v>41288.34</c:v>
                </c:pt>
                <c:pt idx="1">
                  <c:v>59288.39</c:v>
                </c:pt>
                <c:pt idx="2">
                  <c:v>50808.31</c:v>
                </c:pt>
                <c:pt idx="3">
                  <c:v>36398.75</c:v>
                </c:pt>
                <c:pt idx="4">
                  <c:v>41408.68</c:v>
                </c:pt>
              </c:numCache>
            </c:numRef>
          </c:val>
        </c:ser>
        <c:gapWidth val="150"/>
        <c:overlap val="0"/>
        <c:axId val="40866320"/>
        <c:axId val="51552931"/>
      </c:barChart>
      <c:catAx>
        <c:axId val="4086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52931"/>
        <c:crosses val="autoZero"/>
        <c:auto val="1"/>
        <c:lblAlgn val="ctr"/>
        <c:lblOffset val="100"/>
        <c:noMultiLvlLbl val="0"/>
      </c:catAx>
      <c:valAx>
        <c:axId val="515529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663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Analysis!C115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Analysis!$A$116:$A$128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Analysis!$C$116:$C$128</c:f>
              <c:numCache>
                <c:formatCode>\$#,##0</c:formatCode>
                <c:ptCount val="13"/>
                <c:pt idx="0">
                  <c:v>20919.33</c:v>
                </c:pt>
                <c:pt idx="1">
                  <c:v>17039.35</c:v>
                </c:pt>
                <c:pt idx="2">
                  <c:v>19299.45</c:v>
                </c:pt>
                <c:pt idx="3">
                  <c:v>18479.4</c:v>
                </c:pt>
                <c:pt idx="4">
                  <c:v>15759.43</c:v>
                </c:pt>
                <c:pt idx="5">
                  <c:v>12989.51</c:v>
                </c:pt>
                <c:pt idx="6">
                  <c:v>20609.52</c:v>
                </c:pt>
                <c:pt idx="7">
                  <c:v>12309.44</c:v>
                </c:pt>
                <c:pt idx="8">
                  <c:v>23039.3</c:v>
                </c:pt>
                <c:pt idx="9">
                  <c:v>25799.15</c:v>
                </c:pt>
                <c:pt idx="10">
                  <c:v>16069.38</c:v>
                </c:pt>
                <c:pt idx="11">
                  <c:v>19899.38</c:v>
                </c:pt>
                <c:pt idx="12">
                  <c:v>6979.83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Analysis!E115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Analysis!$A$116:$A$128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Analysis!$E$116:$E$128</c:f>
              <c:numCache>
                <c:formatCode>\$#,##0</c:formatCode>
                <c:ptCount val="13"/>
                <c:pt idx="0">
                  <c:v>19214.3614090909</c:v>
                </c:pt>
                <c:pt idx="1">
                  <c:v>19214.3614090909</c:v>
                </c:pt>
                <c:pt idx="2">
                  <c:v>19214.3614090909</c:v>
                </c:pt>
                <c:pt idx="3">
                  <c:v>19214.3614090909</c:v>
                </c:pt>
                <c:pt idx="4">
                  <c:v>19214.3614090909</c:v>
                </c:pt>
                <c:pt idx="5">
                  <c:v>19214.3614090909</c:v>
                </c:pt>
                <c:pt idx="6">
                  <c:v>19214.3614090909</c:v>
                </c:pt>
                <c:pt idx="7">
                  <c:v>19214.3614090909</c:v>
                </c:pt>
                <c:pt idx="8">
                  <c:v>19214.3614090909</c:v>
                </c:pt>
                <c:pt idx="9">
                  <c:v>19214.3614090909</c:v>
                </c:pt>
                <c:pt idx="10">
                  <c:v>19214.3614090909</c:v>
                </c:pt>
                <c:pt idx="11">
                  <c:v>19214.3614090909</c:v>
                </c:pt>
                <c:pt idx="12">
                  <c:v>19214.3614090909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728765"/>
        <c:axId val="57374852"/>
      </c:lineChart>
      <c:catAx>
        <c:axId val="6872876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74852"/>
        <c:crosses val="autoZero"/>
        <c:auto val="1"/>
        <c:lblAlgn val="ctr"/>
        <c:lblOffset val="100"/>
        <c:noMultiLvlLbl val="0"/>
      </c:catAx>
      <c:valAx>
        <c:axId val="573748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287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Analysis!$A$70:$A$79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Coffee Maker</c:v>
                </c:pt>
                <c:pt idx="4">
                  <c:v>Blender</c:v>
                </c:pt>
                <c:pt idx="5">
                  <c:v>Office Chair</c:v>
                </c:pt>
                <c:pt idx="6">
                  <c:v>Desk</c:v>
                </c:pt>
                <c:pt idx="7">
                  <c:v>Bookshelf</c:v>
                </c:pt>
                <c:pt idx="8">
                  <c:v>Monitor</c:v>
                </c:pt>
                <c:pt idx="9">
                  <c:v>Keyboard</c:v>
                </c:pt>
              </c:strCache>
            </c:strRef>
          </c:cat>
          <c:val>
            <c:numRef>
              <c:f>Analysis!$E$70:$E$79</c:f>
              <c:numCache>
                <c:formatCode>\$#,##0</c:formatCode>
                <c:ptCount val="10"/>
                <c:pt idx="0">
                  <c:v>67499.25</c:v>
                </c:pt>
                <c:pt idx="1">
                  <c:v>67199.04</c:v>
                </c:pt>
                <c:pt idx="2">
                  <c:v>7049.53</c:v>
                </c:pt>
                <c:pt idx="3">
                  <c:v>3119.61</c:v>
                </c:pt>
                <c:pt idx="4">
                  <c:v>5219.13</c:v>
                </c:pt>
                <c:pt idx="5">
                  <c:v>10399.48</c:v>
                </c:pt>
                <c:pt idx="6">
                  <c:v>23399.22</c:v>
                </c:pt>
                <c:pt idx="7">
                  <c:v>15298.98</c:v>
                </c:pt>
                <c:pt idx="8">
                  <c:v>21999.12</c:v>
                </c:pt>
                <c:pt idx="9">
                  <c:v>8009.11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8 Customers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Analysis!$A$14:$A$21</c:f>
              <c:strCache>
                <c:ptCount val="8"/>
                <c:pt idx="0">
                  <c:v>Mark Carter</c:v>
                </c:pt>
                <c:pt idx="1">
                  <c:v>Edward Mitchell</c:v>
                </c:pt>
                <c:pt idx="2">
                  <c:v>Barbara Young</c:v>
                </c:pt>
                <c:pt idx="3">
                  <c:v>Patricia Moore</c:v>
                </c:pt>
                <c:pt idx="4">
                  <c:v>Paul Baker</c:v>
                </c:pt>
                <c:pt idx="5">
                  <c:v>Dorothy Nelson</c:v>
                </c:pt>
                <c:pt idx="6">
                  <c:v>Karen Hill</c:v>
                </c:pt>
                <c:pt idx="7">
                  <c:v>Daniel King</c:v>
                </c:pt>
              </c:strCache>
            </c:strRef>
          </c:cat>
          <c:val>
            <c:numRef>
              <c:f>Analysis!$D$14:$D$21</c:f>
              <c:numCache>
                <c:formatCode>\$#,##0</c:formatCode>
                <c:ptCount val="8"/>
                <c:pt idx="0">
                  <c:v>15659.65</c:v>
                </c:pt>
                <c:pt idx="1">
                  <c:v>11919.77</c:v>
                </c:pt>
                <c:pt idx="2">
                  <c:v>10649.8</c:v>
                </c:pt>
                <c:pt idx="3">
                  <c:v>9799.73</c:v>
                </c:pt>
                <c:pt idx="4">
                  <c:v>8309.74</c:v>
                </c:pt>
                <c:pt idx="5">
                  <c:v>8269.79</c:v>
                </c:pt>
                <c:pt idx="6">
                  <c:v>8009.77</c:v>
                </c:pt>
                <c:pt idx="7">
                  <c:v>7309.8</c:v>
                </c:pt>
              </c:numCache>
            </c:numRef>
          </c:val>
        </c:ser>
        <c:gapWidth val="150"/>
        <c:overlap val="0"/>
        <c:axId val="40912361"/>
        <c:axId val="68966523"/>
      </c:barChart>
      <c:catAx>
        <c:axId val="409123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66523"/>
        <c:crosses val="autoZero"/>
        <c:auto val="1"/>
        <c:lblAlgn val="ctr"/>
        <c:lblOffset val="100"/>
        <c:noMultiLvlLbl val="0"/>
      </c:catAx>
      <c:valAx>
        <c:axId val="689665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123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Analysis!$A$87:$A$91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Analysis!$C$87:$C$91</c:f>
              <c:numCache>
                <c:formatCode>\$#,##0</c:formatCode>
                <c:ptCount val="5"/>
                <c:pt idx="0">
                  <c:v>41288.34</c:v>
                </c:pt>
                <c:pt idx="1">
                  <c:v>59288.39</c:v>
                </c:pt>
                <c:pt idx="2">
                  <c:v>50808.31</c:v>
                </c:pt>
                <c:pt idx="3">
                  <c:v>36398.75</c:v>
                </c:pt>
                <c:pt idx="4">
                  <c:v>41408.68</c:v>
                </c:pt>
              </c:numCache>
            </c:numRef>
          </c:val>
        </c:ser>
        <c:gapWidth val="150"/>
        <c:overlap val="0"/>
        <c:axId val="28741268"/>
        <c:axId val="51546627"/>
      </c:barChart>
      <c:catAx>
        <c:axId val="287412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46627"/>
        <c:crosses val="autoZero"/>
        <c:auto val="1"/>
        <c:lblAlgn val="ctr"/>
        <c:lblOffset val="100"/>
        <c:noMultiLvlLbl val="0"/>
      </c:catAx>
      <c:valAx>
        <c:axId val="515466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412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Analysis!C115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Analysis!$A$116:$A$128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Analysis!$C$116:$C$128</c:f>
              <c:numCache>
                <c:formatCode>\$#,##0</c:formatCode>
                <c:ptCount val="13"/>
                <c:pt idx="0">
                  <c:v>20919.33</c:v>
                </c:pt>
                <c:pt idx="1">
                  <c:v>17039.35</c:v>
                </c:pt>
                <c:pt idx="2">
                  <c:v>19299.45</c:v>
                </c:pt>
                <c:pt idx="3">
                  <c:v>18479.4</c:v>
                </c:pt>
                <c:pt idx="4">
                  <c:v>15759.43</c:v>
                </c:pt>
                <c:pt idx="5">
                  <c:v>12989.51</c:v>
                </c:pt>
                <c:pt idx="6">
                  <c:v>20609.52</c:v>
                </c:pt>
                <c:pt idx="7">
                  <c:v>12309.44</c:v>
                </c:pt>
                <c:pt idx="8">
                  <c:v>23039.3</c:v>
                </c:pt>
                <c:pt idx="9">
                  <c:v>25799.15</c:v>
                </c:pt>
                <c:pt idx="10">
                  <c:v>16069.38</c:v>
                </c:pt>
                <c:pt idx="11">
                  <c:v>19899.38</c:v>
                </c:pt>
                <c:pt idx="12">
                  <c:v>6979.83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Analysis!E115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Analysis!$A$116:$A$128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Analysis!$E$116:$E$128</c:f>
              <c:numCache>
                <c:formatCode>\$#,##0</c:formatCode>
                <c:ptCount val="13"/>
                <c:pt idx="0">
                  <c:v>19214.3614090909</c:v>
                </c:pt>
                <c:pt idx="1">
                  <c:v>19214.3614090909</c:v>
                </c:pt>
                <c:pt idx="2">
                  <c:v>19214.3614090909</c:v>
                </c:pt>
                <c:pt idx="3">
                  <c:v>19214.3614090909</c:v>
                </c:pt>
                <c:pt idx="4">
                  <c:v>19214.3614090909</c:v>
                </c:pt>
                <c:pt idx="5">
                  <c:v>19214.3614090909</c:v>
                </c:pt>
                <c:pt idx="6">
                  <c:v>19214.3614090909</c:v>
                </c:pt>
                <c:pt idx="7">
                  <c:v>19214.3614090909</c:v>
                </c:pt>
                <c:pt idx="8">
                  <c:v>19214.3614090909</c:v>
                </c:pt>
                <c:pt idx="9">
                  <c:v>19214.3614090909</c:v>
                </c:pt>
                <c:pt idx="10">
                  <c:v>19214.3614090909</c:v>
                </c:pt>
                <c:pt idx="11">
                  <c:v>19214.3614090909</c:v>
                </c:pt>
                <c:pt idx="12">
                  <c:v>19214.3614090909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551397"/>
        <c:axId val="17031622"/>
      </c:lineChart>
      <c:catAx>
        <c:axId val="99551397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31622"/>
        <c:crosses val="autoZero"/>
        <c:auto val="1"/>
        <c:lblAlgn val="ctr"/>
        <c:lblOffset val="100"/>
        <c:noMultiLvlLbl val="0"/>
      </c:catAx>
      <c:valAx>
        <c:axId val="17031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513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Analysis!$A$70:$A$79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Coffee Maker</c:v>
                </c:pt>
                <c:pt idx="4">
                  <c:v>Blender</c:v>
                </c:pt>
                <c:pt idx="5">
                  <c:v>Office Chair</c:v>
                </c:pt>
                <c:pt idx="6">
                  <c:v>Desk</c:v>
                </c:pt>
                <c:pt idx="7">
                  <c:v>Bookshelf</c:v>
                </c:pt>
                <c:pt idx="8">
                  <c:v>Monitor</c:v>
                </c:pt>
                <c:pt idx="9">
                  <c:v>Keyboard</c:v>
                </c:pt>
              </c:strCache>
            </c:strRef>
          </c:cat>
          <c:val>
            <c:numRef>
              <c:f>Analysis!$E$70:$E$79</c:f>
              <c:numCache>
                <c:formatCode>\$#,##0</c:formatCode>
                <c:ptCount val="10"/>
                <c:pt idx="0">
                  <c:v>67499.25</c:v>
                </c:pt>
                <c:pt idx="1">
                  <c:v>67199.04</c:v>
                </c:pt>
                <c:pt idx="2">
                  <c:v>7049.53</c:v>
                </c:pt>
                <c:pt idx="3">
                  <c:v>3119.61</c:v>
                </c:pt>
                <c:pt idx="4">
                  <c:v>5219.13</c:v>
                </c:pt>
                <c:pt idx="5">
                  <c:v>10399.48</c:v>
                </c:pt>
                <c:pt idx="6">
                  <c:v>23399.22</c:v>
                </c:pt>
                <c:pt idx="7">
                  <c:v>15298.98</c:v>
                </c:pt>
                <c:pt idx="8">
                  <c:v>21999.12</c:v>
                </c:pt>
                <c:pt idx="9">
                  <c:v>8009.11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8 Customers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Analysis!$A$14:$A$21</c:f>
              <c:strCache>
                <c:ptCount val="8"/>
                <c:pt idx="0">
                  <c:v>Mark Carter</c:v>
                </c:pt>
                <c:pt idx="1">
                  <c:v>Edward Mitchell</c:v>
                </c:pt>
                <c:pt idx="2">
                  <c:v>Barbara Young</c:v>
                </c:pt>
                <c:pt idx="3">
                  <c:v>Patricia Moore</c:v>
                </c:pt>
                <c:pt idx="4">
                  <c:v>Paul Baker</c:v>
                </c:pt>
                <c:pt idx="5">
                  <c:v>Dorothy Nelson</c:v>
                </c:pt>
                <c:pt idx="6">
                  <c:v>Karen Hill</c:v>
                </c:pt>
                <c:pt idx="7">
                  <c:v>Daniel King</c:v>
                </c:pt>
              </c:strCache>
            </c:strRef>
          </c:cat>
          <c:val>
            <c:numRef>
              <c:f>Analysis!$D$14:$D$21</c:f>
              <c:numCache>
                <c:formatCode>\$#,##0</c:formatCode>
                <c:ptCount val="8"/>
                <c:pt idx="0">
                  <c:v>15659.65</c:v>
                </c:pt>
                <c:pt idx="1">
                  <c:v>11919.77</c:v>
                </c:pt>
                <c:pt idx="2">
                  <c:v>10649.8</c:v>
                </c:pt>
                <c:pt idx="3">
                  <c:v>9799.73</c:v>
                </c:pt>
                <c:pt idx="4">
                  <c:v>8309.74</c:v>
                </c:pt>
                <c:pt idx="5">
                  <c:v>8269.79</c:v>
                </c:pt>
                <c:pt idx="6">
                  <c:v>8009.77</c:v>
                </c:pt>
                <c:pt idx="7">
                  <c:v>7309.8</c:v>
                </c:pt>
              </c:numCache>
            </c:numRef>
          </c:val>
        </c:ser>
        <c:gapWidth val="150"/>
        <c:overlap val="0"/>
        <c:axId val="80680866"/>
        <c:axId val="12083306"/>
      </c:barChart>
      <c:catAx>
        <c:axId val="806808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83306"/>
        <c:crosses val="autoZero"/>
        <c:auto val="1"/>
        <c:lblAlgn val="ctr"/>
        <c:lblOffset val="100"/>
        <c:noMultiLvlLbl val="0"/>
      </c:catAx>
      <c:valAx>
        <c:axId val="12083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808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Quantity vs Total Amount (with trendline)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"Transactions"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'Raw Data'!$H$2:$H$251</c:f>
              <c:numCache>
                <c:formatCode>General</c:formatCode>
                <c:ptCount val="25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5</c:v>
                </c:pt>
                <c:pt idx="28">
                  <c:v>2</c:v>
                </c:pt>
                <c:pt idx="29">
                  <c:v>4</c:v>
                </c:pt>
                <c:pt idx="30">
                  <c:v>5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5</c:v>
                </c:pt>
                <c:pt idx="38">
                  <c:v>3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5</c:v>
                </c:pt>
                <c:pt idx="43">
                  <c:v>5</c:v>
                </c:pt>
                <c:pt idx="44">
                  <c:v>1</c:v>
                </c:pt>
                <c:pt idx="45">
                  <c:v>2</c:v>
                </c:pt>
                <c:pt idx="46">
                  <c:v>4</c:v>
                </c:pt>
                <c:pt idx="47">
                  <c:v>5</c:v>
                </c:pt>
                <c:pt idx="48">
                  <c:v>2</c:v>
                </c:pt>
                <c:pt idx="49">
                  <c:v>5</c:v>
                </c:pt>
                <c:pt idx="50">
                  <c:v>5</c:v>
                </c:pt>
                <c:pt idx="51">
                  <c:v>1</c:v>
                </c:pt>
                <c:pt idx="52">
                  <c:v>2</c:v>
                </c:pt>
                <c:pt idx="53">
                  <c:v>4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4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5</c:v>
                </c:pt>
                <c:pt idx="63">
                  <c:v>1</c:v>
                </c:pt>
                <c:pt idx="64">
                  <c:v>2</c:v>
                </c:pt>
                <c:pt idx="65">
                  <c:v>5</c:v>
                </c:pt>
                <c:pt idx="66">
                  <c:v>4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1</c:v>
                </c:pt>
                <c:pt idx="74">
                  <c:v>5</c:v>
                </c:pt>
                <c:pt idx="75">
                  <c:v>2</c:v>
                </c:pt>
                <c:pt idx="76">
                  <c:v>4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4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5</c:v>
                </c:pt>
                <c:pt idx="87">
                  <c:v>4</c:v>
                </c:pt>
                <c:pt idx="88">
                  <c:v>5</c:v>
                </c:pt>
                <c:pt idx="89">
                  <c:v>3</c:v>
                </c:pt>
                <c:pt idx="90">
                  <c:v>4</c:v>
                </c:pt>
                <c:pt idx="91">
                  <c:v>5</c:v>
                </c:pt>
                <c:pt idx="92">
                  <c:v>2</c:v>
                </c:pt>
                <c:pt idx="93">
                  <c:v>5</c:v>
                </c:pt>
                <c:pt idx="94">
                  <c:v>3</c:v>
                </c:pt>
                <c:pt idx="95">
                  <c:v>5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3</c:v>
                </c:pt>
                <c:pt idx="105">
                  <c:v>3</c:v>
                </c:pt>
                <c:pt idx="106">
                  <c:v>4</c:v>
                </c:pt>
                <c:pt idx="107">
                  <c:v>1</c:v>
                </c:pt>
                <c:pt idx="108">
                  <c:v>3</c:v>
                </c:pt>
                <c:pt idx="109">
                  <c:v>2</c:v>
                </c:pt>
                <c:pt idx="110">
                  <c:v>4</c:v>
                </c:pt>
                <c:pt idx="111">
                  <c:v>2</c:v>
                </c:pt>
                <c:pt idx="112">
                  <c:v>4</c:v>
                </c:pt>
                <c:pt idx="113">
                  <c:v>5</c:v>
                </c:pt>
                <c:pt idx="114">
                  <c:v>1</c:v>
                </c:pt>
                <c:pt idx="115">
                  <c:v>4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4</c:v>
                </c:pt>
                <c:pt idx="121">
                  <c:v>2</c:v>
                </c:pt>
                <c:pt idx="122">
                  <c:v>4</c:v>
                </c:pt>
                <c:pt idx="123">
                  <c:v>2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5</c:v>
                </c:pt>
                <c:pt idx="128">
                  <c:v>4</c:v>
                </c:pt>
                <c:pt idx="129">
                  <c:v>1</c:v>
                </c:pt>
                <c:pt idx="130">
                  <c:v>2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5</c:v>
                </c:pt>
                <c:pt idx="135">
                  <c:v>3</c:v>
                </c:pt>
                <c:pt idx="136">
                  <c:v>5</c:v>
                </c:pt>
                <c:pt idx="137">
                  <c:v>3</c:v>
                </c:pt>
                <c:pt idx="138">
                  <c:v>3</c:v>
                </c:pt>
                <c:pt idx="139">
                  <c:v>2</c:v>
                </c:pt>
                <c:pt idx="140">
                  <c:v>1</c:v>
                </c:pt>
                <c:pt idx="141">
                  <c:v>3</c:v>
                </c:pt>
                <c:pt idx="142">
                  <c:v>5</c:v>
                </c:pt>
                <c:pt idx="143">
                  <c:v>4</c:v>
                </c:pt>
                <c:pt idx="144">
                  <c:v>5</c:v>
                </c:pt>
                <c:pt idx="145">
                  <c:v>3</c:v>
                </c:pt>
                <c:pt idx="146">
                  <c:v>5</c:v>
                </c:pt>
                <c:pt idx="147">
                  <c:v>2</c:v>
                </c:pt>
                <c:pt idx="148">
                  <c:v>4</c:v>
                </c:pt>
                <c:pt idx="149">
                  <c:v>1</c:v>
                </c:pt>
                <c:pt idx="150">
                  <c:v>3</c:v>
                </c:pt>
                <c:pt idx="151">
                  <c:v>5</c:v>
                </c:pt>
                <c:pt idx="152">
                  <c:v>2</c:v>
                </c:pt>
                <c:pt idx="153">
                  <c:v>3</c:v>
                </c:pt>
                <c:pt idx="154">
                  <c:v>5</c:v>
                </c:pt>
                <c:pt idx="155">
                  <c:v>2</c:v>
                </c:pt>
                <c:pt idx="156">
                  <c:v>5</c:v>
                </c:pt>
                <c:pt idx="157">
                  <c:v>4</c:v>
                </c:pt>
                <c:pt idx="158">
                  <c:v>4</c:v>
                </c:pt>
                <c:pt idx="159">
                  <c:v>2</c:v>
                </c:pt>
                <c:pt idx="160">
                  <c:v>3</c:v>
                </c:pt>
                <c:pt idx="161">
                  <c:v>4</c:v>
                </c:pt>
                <c:pt idx="162">
                  <c:v>3</c:v>
                </c:pt>
                <c:pt idx="163">
                  <c:v>2</c:v>
                </c:pt>
                <c:pt idx="164">
                  <c:v>1</c:v>
                </c:pt>
                <c:pt idx="165">
                  <c:v>2</c:v>
                </c:pt>
                <c:pt idx="166">
                  <c:v>2</c:v>
                </c:pt>
                <c:pt idx="167">
                  <c:v>1</c:v>
                </c:pt>
                <c:pt idx="168">
                  <c:v>5</c:v>
                </c:pt>
                <c:pt idx="169">
                  <c:v>2</c:v>
                </c:pt>
                <c:pt idx="170">
                  <c:v>2</c:v>
                </c:pt>
                <c:pt idx="171">
                  <c:v>3</c:v>
                </c:pt>
                <c:pt idx="172">
                  <c:v>2</c:v>
                </c:pt>
                <c:pt idx="173">
                  <c:v>2</c:v>
                </c:pt>
                <c:pt idx="174">
                  <c:v>4</c:v>
                </c:pt>
                <c:pt idx="175">
                  <c:v>1</c:v>
                </c:pt>
                <c:pt idx="176">
                  <c:v>5</c:v>
                </c:pt>
                <c:pt idx="177">
                  <c:v>1</c:v>
                </c:pt>
                <c:pt idx="178">
                  <c:v>2</c:v>
                </c:pt>
                <c:pt idx="179">
                  <c:v>1</c:v>
                </c:pt>
                <c:pt idx="180">
                  <c:v>5</c:v>
                </c:pt>
                <c:pt idx="181">
                  <c:v>3</c:v>
                </c:pt>
                <c:pt idx="182">
                  <c:v>3</c:v>
                </c:pt>
                <c:pt idx="183">
                  <c:v>5</c:v>
                </c:pt>
                <c:pt idx="184">
                  <c:v>5</c:v>
                </c:pt>
                <c:pt idx="185">
                  <c:v>4</c:v>
                </c:pt>
                <c:pt idx="186">
                  <c:v>3</c:v>
                </c:pt>
                <c:pt idx="187">
                  <c:v>1</c:v>
                </c:pt>
                <c:pt idx="188">
                  <c:v>1</c:v>
                </c:pt>
                <c:pt idx="189">
                  <c:v>4</c:v>
                </c:pt>
                <c:pt idx="190">
                  <c:v>2</c:v>
                </c:pt>
                <c:pt idx="191">
                  <c:v>3</c:v>
                </c:pt>
                <c:pt idx="192">
                  <c:v>4</c:v>
                </c:pt>
                <c:pt idx="193">
                  <c:v>5</c:v>
                </c:pt>
                <c:pt idx="194">
                  <c:v>3</c:v>
                </c:pt>
                <c:pt idx="195">
                  <c:v>5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3</c:v>
                </c:pt>
                <c:pt idx="200">
                  <c:v>2</c:v>
                </c:pt>
                <c:pt idx="201">
                  <c:v>4</c:v>
                </c:pt>
                <c:pt idx="202">
                  <c:v>2</c:v>
                </c:pt>
                <c:pt idx="203">
                  <c:v>3</c:v>
                </c:pt>
                <c:pt idx="204">
                  <c:v>1</c:v>
                </c:pt>
                <c:pt idx="205">
                  <c:v>3</c:v>
                </c:pt>
                <c:pt idx="206">
                  <c:v>5</c:v>
                </c:pt>
                <c:pt idx="207">
                  <c:v>5</c:v>
                </c:pt>
                <c:pt idx="208">
                  <c:v>3</c:v>
                </c:pt>
                <c:pt idx="209">
                  <c:v>3</c:v>
                </c:pt>
                <c:pt idx="210">
                  <c:v>2</c:v>
                </c:pt>
                <c:pt idx="211">
                  <c:v>2</c:v>
                </c:pt>
                <c:pt idx="212">
                  <c:v>5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5</c:v>
                </c:pt>
                <c:pt idx="217">
                  <c:v>1</c:v>
                </c:pt>
                <c:pt idx="218">
                  <c:v>1</c:v>
                </c:pt>
                <c:pt idx="219">
                  <c:v>4</c:v>
                </c:pt>
                <c:pt idx="220">
                  <c:v>5</c:v>
                </c:pt>
                <c:pt idx="221">
                  <c:v>2</c:v>
                </c:pt>
                <c:pt idx="222">
                  <c:v>4</c:v>
                </c:pt>
                <c:pt idx="223">
                  <c:v>2</c:v>
                </c:pt>
                <c:pt idx="224">
                  <c:v>2</c:v>
                </c:pt>
                <c:pt idx="225">
                  <c:v>5</c:v>
                </c:pt>
                <c:pt idx="226">
                  <c:v>5</c:v>
                </c:pt>
                <c:pt idx="227">
                  <c:v>2</c:v>
                </c:pt>
                <c:pt idx="228">
                  <c:v>5</c:v>
                </c:pt>
                <c:pt idx="229">
                  <c:v>2</c:v>
                </c:pt>
                <c:pt idx="230">
                  <c:v>5</c:v>
                </c:pt>
                <c:pt idx="231">
                  <c:v>4</c:v>
                </c:pt>
                <c:pt idx="232">
                  <c:v>1</c:v>
                </c:pt>
                <c:pt idx="233">
                  <c:v>2</c:v>
                </c:pt>
                <c:pt idx="234">
                  <c:v>2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4</c:v>
                </c:pt>
                <c:pt idx="239">
                  <c:v>4</c:v>
                </c:pt>
                <c:pt idx="240">
                  <c:v>5</c:v>
                </c:pt>
                <c:pt idx="241">
                  <c:v>3</c:v>
                </c:pt>
                <c:pt idx="242">
                  <c:v>2</c:v>
                </c:pt>
                <c:pt idx="243">
                  <c:v>2</c:v>
                </c:pt>
                <c:pt idx="244">
                  <c:v>3</c:v>
                </c:pt>
                <c:pt idx="245">
                  <c:v>3</c:v>
                </c:pt>
                <c:pt idx="246">
                  <c:v>1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</c:numCache>
            </c:numRef>
          </c:xVal>
          <c:yVal>
            <c:numRef>
              <c:f>'Raw Data'!$N$2:$N$251</c:f>
              <c:numCache>
                <c:formatCode>0.00</c:formatCode>
                <c:ptCount val="250"/>
                <c:pt idx="0">
                  <c:v>749.97</c:v>
                </c:pt>
                <c:pt idx="1">
                  <c:v>749.97</c:v>
                </c:pt>
                <c:pt idx="2">
                  <c:v>179.97</c:v>
                </c:pt>
                <c:pt idx="3">
                  <c:v>179.97</c:v>
                </c:pt>
                <c:pt idx="4">
                  <c:v>749.95</c:v>
                </c:pt>
                <c:pt idx="5">
                  <c:v>119.98</c:v>
                </c:pt>
                <c:pt idx="6">
                  <c:v>749.95</c:v>
                </c:pt>
                <c:pt idx="7">
                  <c:v>179.97</c:v>
                </c:pt>
                <c:pt idx="8">
                  <c:v>2699.97</c:v>
                </c:pt>
                <c:pt idx="9">
                  <c:v>179.97</c:v>
                </c:pt>
                <c:pt idx="10">
                  <c:v>149.99</c:v>
                </c:pt>
                <c:pt idx="11">
                  <c:v>749.95</c:v>
                </c:pt>
                <c:pt idx="12">
                  <c:v>449.97</c:v>
                </c:pt>
                <c:pt idx="13">
                  <c:v>179.97</c:v>
                </c:pt>
                <c:pt idx="14">
                  <c:v>2099.97</c:v>
                </c:pt>
                <c:pt idx="15">
                  <c:v>899.99</c:v>
                </c:pt>
                <c:pt idx="16">
                  <c:v>599.96</c:v>
                </c:pt>
                <c:pt idx="17">
                  <c:v>1399.98</c:v>
                </c:pt>
                <c:pt idx="18">
                  <c:v>3599.96</c:v>
                </c:pt>
                <c:pt idx="19">
                  <c:v>749.97</c:v>
                </c:pt>
                <c:pt idx="20">
                  <c:v>3499.95</c:v>
                </c:pt>
                <c:pt idx="21">
                  <c:v>2799.96</c:v>
                </c:pt>
                <c:pt idx="22">
                  <c:v>999.96</c:v>
                </c:pt>
                <c:pt idx="23">
                  <c:v>1199.96</c:v>
                </c:pt>
                <c:pt idx="24">
                  <c:v>1249.95</c:v>
                </c:pt>
                <c:pt idx="25">
                  <c:v>1499.95</c:v>
                </c:pt>
                <c:pt idx="26">
                  <c:v>239.97</c:v>
                </c:pt>
                <c:pt idx="27">
                  <c:v>449.95</c:v>
                </c:pt>
                <c:pt idx="28">
                  <c:v>119.98</c:v>
                </c:pt>
                <c:pt idx="29">
                  <c:v>239.96</c:v>
                </c:pt>
                <c:pt idx="30">
                  <c:v>999.95</c:v>
                </c:pt>
                <c:pt idx="31">
                  <c:v>299.98</c:v>
                </c:pt>
                <c:pt idx="32">
                  <c:v>449.97</c:v>
                </c:pt>
                <c:pt idx="33">
                  <c:v>899.99</c:v>
                </c:pt>
                <c:pt idx="34">
                  <c:v>899.97</c:v>
                </c:pt>
                <c:pt idx="35">
                  <c:v>239.97</c:v>
                </c:pt>
                <c:pt idx="36">
                  <c:v>599.97</c:v>
                </c:pt>
                <c:pt idx="37">
                  <c:v>3499.95</c:v>
                </c:pt>
                <c:pt idx="38">
                  <c:v>269.97</c:v>
                </c:pt>
                <c:pt idx="39">
                  <c:v>79.99</c:v>
                </c:pt>
                <c:pt idx="40">
                  <c:v>119.98</c:v>
                </c:pt>
                <c:pt idx="41">
                  <c:v>89.99</c:v>
                </c:pt>
                <c:pt idx="42">
                  <c:v>449.95</c:v>
                </c:pt>
                <c:pt idx="43">
                  <c:v>1249.95</c:v>
                </c:pt>
                <c:pt idx="44">
                  <c:v>89.99</c:v>
                </c:pt>
                <c:pt idx="45">
                  <c:v>299.98</c:v>
                </c:pt>
                <c:pt idx="46">
                  <c:v>239.96</c:v>
                </c:pt>
                <c:pt idx="47">
                  <c:v>449.95</c:v>
                </c:pt>
                <c:pt idx="48">
                  <c:v>179.98</c:v>
                </c:pt>
                <c:pt idx="49">
                  <c:v>4499.95</c:v>
                </c:pt>
                <c:pt idx="50">
                  <c:v>4499.95</c:v>
                </c:pt>
                <c:pt idx="51">
                  <c:v>59.99</c:v>
                </c:pt>
                <c:pt idx="52">
                  <c:v>599.98</c:v>
                </c:pt>
                <c:pt idx="53">
                  <c:v>359.96</c:v>
                </c:pt>
                <c:pt idx="54">
                  <c:v>79.99</c:v>
                </c:pt>
                <c:pt idx="55">
                  <c:v>179.98</c:v>
                </c:pt>
                <c:pt idx="56">
                  <c:v>2099.97</c:v>
                </c:pt>
                <c:pt idx="57">
                  <c:v>3599.96</c:v>
                </c:pt>
                <c:pt idx="58">
                  <c:v>149.99</c:v>
                </c:pt>
                <c:pt idx="59">
                  <c:v>179.98</c:v>
                </c:pt>
                <c:pt idx="60">
                  <c:v>89.99</c:v>
                </c:pt>
                <c:pt idx="61">
                  <c:v>89.99</c:v>
                </c:pt>
                <c:pt idx="62">
                  <c:v>399.95</c:v>
                </c:pt>
                <c:pt idx="63">
                  <c:v>149.99</c:v>
                </c:pt>
                <c:pt idx="64">
                  <c:v>1399.98</c:v>
                </c:pt>
                <c:pt idx="65">
                  <c:v>449.95</c:v>
                </c:pt>
                <c:pt idx="66">
                  <c:v>239.96</c:v>
                </c:pt>
                <c:pt idx="67">
                  <c:v>149.99</c:v>
                </c:pt>
                <c:pt idx="68">
                  <c:v>299.99</c:v>
                </c:pt>
                <c:pt idx="69">
                  <c:v>399.98</c:v>
                </c:pt>
                <c:pt idx="70">
                  <c:v>179.97</c:v>
                </c:pt>
                <c:pt idx="71">
                  <c:v>449.97</c:v>
                </c:pt>
                <c:pt idx="72">
                  <c:v>599.97</c:v>
                </c:pt>
                <c:pt idx="73">
                  <c:v>899.99</c:v>
                </c:pt>
                <c:pt idx="74">
                  <c:v>4499.95</c:v>
                </c:pt>
                <c:pt idx="75">
                  <c:v>119.98</c:v>
                </c:pt>
                <c:pt idx="76">
                  <c:v>999.96</c:v>
                </c:pt>
                <c:pt idx="77">
                  <c:v>499.98</c:v>
                </c:pt>
                <c:pt idx="78">
                  <c:v>299.99</c:v>
                </c:pt>
                <c:pt idx="79">
                  <c:v>179.98</c:v>
                </c:pt>
                <c:pt idx="80">
                  <c:v>899.97</c:v>
                </c:pt>
                <c:pt idx="81">
                  <c:v>1399.98</c:v>
                </c:pt>
                <c:pt idx="82">
                  <c:v>3599.96</c:v>
                </c:pt>
                <c:pt idx="83">
                  <c:v>299.98</c:v>
                </c:pt>
                <c:pt idx="84">
                  <c:v>299.98</c:v>
                </c:pt>
                <c:pt idx="85">
                  <c:v>89.99</c:v>
                </c:pt>
                <c:pt idx="86">
                  <c:v>1499.95</c:v>
                </c:pt>
                <c:pt idx="87">
                  <c:v>599.96</c:v>
                </c:pt>
                <c:pt idx="88">
                  <c:v>1249.95</c:v>
                </c:pt>
                <c:pt idx="89">
                  <c:v>749.97</c:v>
                </c:pt>
                <c:pt idx="90">
                  <c:v>799.96</c:v>
                </c:pt>
                <c:pt idx="91">
                  <c:v>999.95</c:v>
                </c:pt>
                <c:pt idx="92">
                  <c:v>179.98</c:v>
                </c:pt>
                <c:pt idx="93">
                  <c:v>4499.95</c:v>
                </c:pt>
                <c:pt idx="94">
                  <c:v>449.97</c:v>
                </c:pt>
                <c:pt idx="95">
                  <c:v>749.95</c:v>
                </c:pt>
                <c:pt idx="96">
                  <c:v>239.97</c:v>
                </c:pt>
                <c:pt idx="97">
                  <c:v>499.98</c:v>
                </c:pt>
                <c:pt idx="98">
                  <c:v>699.99</c:v>
                </c:pt>
                <c:pt idx="99">
                  <c:v>449.97</c:v>
                </c:pt>
                <c:pt idx="100">
                  <c:v>1399.98</c:v>
                </c:pt>
                <c:pt idx="101">
                  <c:v>249.99</c:v>
                </c:pt>
                <c:pt idx="102">
                  <c:v>249.99</c:v>
                </c:pt>
                <c:pt idx="103">
                  <c:v>1399.98</c:v>
                </c:pt>
                <c:pt idx="104">
                  <c:v>179.97</c:v>
                </c:pt>
                <c:pt idx="105">
                  <c:v>179.97</c:v>
                </c:pt>
                <c:pt idx="106">
                  <c:v>319.96</c:v>
                </c:pt>
                <c:pt idx="107">
                  <c:v>79.99</c:v>
                </c:pt>
                <c:pt idx="108">
                  <c:v>899.97</c:v>
                </c:pt>
                <c:pt idx="109">
                  <c:v>179.98</c:v>
                </c:pt>
                <c:pt idx="110">
                  <c:v>599.96</c:v>
                </c:pt>
                <c:pt idx="111">
                  <c:v>499.98</c:v>
                </c:pt>
                <c:pt idx="112">
                  <c:v>799.96</c:v>
                </c:pt>
                <c:pt idx="113">
                  <c:v>449.95</c:v>
                </c:pt>
                <c:pt idx="114">
                  <c:v>149.99</c:v>
                </c:pt>
                <c:pt idx="115">
                  <c:v>2799.96</c:v>
                </c:pt>
                <c:pt idx="116">
                  <c:v>2699.97</c:v>
                </c:pt>
                <c:pt idx="117">
                  <c:v>449.97</c:v>
                </c:pt>
                <c:pt idx="118">
                  <c:v>599.98</c:v>
                </c:pt>
                <c:pt idx="119">
                  <c:v>199.99</c:v>
                </c:pt>
                <c:pt idx="120">
                  <c:v>1199.96</c:v>
                </c:pt>
                <c:pt idx="121">
                  <c:v>119.98</c:v>
                </c:pt>
                <c:pt idx="122">
                  <c:v>599.96</c:v>
                </c:pt>
                <c:pt idx="123">
                  <c:v>1399.98</c:v>
                </c:pt>
                <c:pt idx="124">
                  <c:v>449.97</c:v>
                </c:pt>
                <c:pt idx="125">
                  <c:v>899.97</c:v>
                </c:pt>
                <c:pt idx="126">
                  <c:v>2699.97</c:v>
                </c:pt>
                <c:pt idx="127">
                  <c:v>3499.95</c:v>
                </c:pt>
                <c:pt idx="128">
                  <c:v>2799.96</c:v>
                </c:pt>
                <c:pt idx="129">
                  <c:v>899.99</c:v>
                </c:pt>
                <c:pt idx="130">
                  <c:v>299.98</c:v>
                </c:pt>
                <c:pt idx="131">
                  <c:v>269.97</c:v>
                </c:pt>
                <c:pt idx="132">
                  <c:v>299.98</c:v>
                </c:pt>
                <c:pt idx="133">
                  <c:v>1399.98</c:v>
                </c:pt>
                <c:pt idx="134">
                  <c:v>3499.95</c:v>
                </c:pt>
                <c:pt idx="135">
                  <c:v>269.97</c:v>
                </c:pt>
                <c:pt idx="136">
                  <c:v>1249.95</c:v>
                </c:pt>
                <c:pt idx="137">
                  <c:v>899.97</c:v>
                </c:pt>
                <c:pt idx="138">
                  <c:v>269.97</c:v>
                </c:pt>
                <c:pt idx="139">
                  <c:v>299.98</c:v>
                </c:pt>
                <c:pt idx="140">
                  <c:v>249.99</c:v>
                </c:pt>
                <c:pt idx="141">
                  <c:v>449.97</c:v>
                </c:pt>
                <c:pt idx="142">
                  <c:v>299.95</c:v>
                </c:pt>
                <c:pt idx="143">
                  <c:v>999.96</c:v>
                </c:pt>
                <c:pt idx="144">
                  <c:v>749.95</c:v>
                </c:pt>
                <c:pt idx="145">
                  <c:v>179.97</c:v>
                </c:pt>
                <c:pt idx="146">
                  <c:v>749.95</c:v>
                </c:pt>
                <c:pt idx="147">
                  <c:v>1399.98</c:v>
                </c:pt>
                <c:pt idx="148">
                  <c:v>799.96</c:v>
                </c:pt>
                <c:pt idx="149">
                  <c:v>59.99</c:v>
                </c:pt>
                <c:pt idx="150">
                  <c:v>2099.97</c:v>
                </c:pt>
                <c:pt idx="151">
                  <c:v>1249.95</c:v>
                </c:pt>
                <c:pt idx="152">
                  <c:v>299.98</c:v>
                </c:pt>
                <c:pt idx="153">
                  <c:v>899.97</c:v>
                </c:pt>
                <c:pt idx="154">
                  <c:v>1249.95</c:v>
                </c:pt>
                <c:pt idx="155">
                  <c:v>299.98</c:v>
                </c:pt>
                <c:pt idx="156">
                  <c:v>3499.95</c:v>
                </c:pt>
                <c:pt idx="157">
                  <c:v>999.96</c:v>
                </c:pt>
                <c:pt idx="158">
                  <c:v>2799.96</c:v>
                </c:pt>
                <c:pt idx="159">
                  <c:v>499.98</c:v>
                </c:pt>
                <c:pt idx="160">
                  <c:v>179.97</c:v>
                </c:pt>
                <c:pt idx="161">
                  <c:v>319.96</c:v>
                </c:pt>
                <c:pt idx="162">
                  <c:v>239.97</c:v>
                </c:pt>
                <c:pt idx="163">
                  <c:v>1799.98</c:v>
                </c:pt>
                <c:pt idx="164">
                  <c:v>149.99</c:v>
                </c:pt>
                <c:pt idx="165">
                  <c:v>599.98</c:v>
                </c:pt>
                <c:pt idx="166">
                  <c:v>119.98</c:v>
                </c:pt>
                <c:pt idx="167">
                  <c:v>89.99</c:v>
                </c:pt>
                <c:pt idx="168">
                  <c:v>4499.95</c:v>
                </c:pt>
                <c:pt idx="169">
                  <c:v>299.98</c:v>
                </c:pt>
                <c:pt idx="170">
                  <c:v>299.98</c:v>
                </c:pt>
                <c:pt idx="171">
                  <c:v>449.97</c:v>
                </c:pt>
                <c:pt idx="172">
                  <c:v>599.98</c:v>
                </c:pt>
                <c:pt idx="173">
                  <c:v>599.98</c:v>
                </c:pt>
                <c:pt idx="174">
                  <c:v>799.96</c:v>
                </c:pt>
                <c:pt idx="175">
                  <c:v>89.99</c:v>
                </c:pt>
                <c:pt idx="176">
                  <c:v>749.95</c:v>
                </c:pt>
                <c:pt idx="177">
                  <c:v>899.99</c:v>
                </c:pt>
                <c:pt idx="178">
                  <c:v>179.98</c:v>
                </c:pt>
                <c:pt idx="179">
                  <c:v>899.99</c:v>
                </c:pt>
                <c:pt idx="180">
                  <c:v>749.95</c:v>
                </c:pt>
                <c:pt idx="181">
                  <c:v>899.97</c:v>
                </c:pt>
                <c:pt idx="182">
                  <c:v>2099.97</c:v>
                </c:pt>
                <c:pt idx="183">
                  <c:v>999.95</c:v>
                </c:pt>
                <c:pt idx="184">
                  <c:v>1249.95</c:v>
                </c:pt>
                <c:pt idx="185">
                  <c:v>599.96</c:v>
                </c:pt>
                <c:pt idx="186">
                  <c:v>2099.97</c:v>
                </c:pt>
                <c:pt idx="187">
                  <c:v>79.99</c:v>
                </c:pt>
                <c:pt idx="188">
                  <c:v>299.99</c:v>
                </c:pt>
                <c:pt idx="189">
                  <c:v>999.96</c:v>
                </c:pt>
                <c:pt idx="190">
                  <c:v>299.98</c:v>
                </c:pt>
                <c:pt idx="191">
                  <c:v>899.97</c:v>
                </c:pt>
                <c:pt idx="192">
                  <c:v>799.96</c:v>
                </c:pt>
                <c:pt idx="193">
                  <c:v>1499.95</c:v>
                </c:pt>
                <c:pt idx="194">
                  <c:v>449.97</c:v>
                </c:pt>
                <c:pt idx="195">
                  <c:v>299.95</c:v>
                </c:pt>
                <c:pt idx="196">
                  <c:v>239.96</c:v>
                </c:pt>
                <c:pt idx="197">
                  <c:v>999.96</c:v>
                </c:pt>
                <c:pt idx="198">
                  <c:v>3599.96</c:v>
                </c:pt>
                <c:pt idx="199">
                  <c:v>899.97</c:v>
                </c:pt>
                <c:pt idx="200">
                  <c:v>1399.98</c:v>
                </c:pt>
                <c:pt idx="201">
                  <c:v>2799.96</c:v>
                </c:pt>
                <c:pt idx="202">
                  <c:v>179.98</c:v>
                </c:pt>
                <c:pt idx="203">
                  <c:v>269.97</c:v>
                </c:pt>
                <c:pt idx="204">
                  <c:v>59.99</c:v>
                </c:pt>
                <c:pt idx="205">
                  <c:v>449.97</c:v>
                </c:pt>
                <c:pt idx="206">
                  <c:v>1499.95</c:v>
                </c:pt>
                <c:pt idx="207">
                  <c:v>299.95</c:v>
                </c:pt>
                <c:pt idx="208">
                  <c:v>239.97</c:v>
                </c:pt>
                <c:pt idx="209">
                  <c:v>599.97</c:v>
                </c:pt>
                <c:pt idx="210">
                  <c:v>179.98</c:v>
                </c:pt>
                <c:pt idx="211">
                  <c:v>299.98</c:v>
                </c:pt>
                <c:pt idx="212">
                  <c:v>3499.95</c:v>
                </c:pt>
                <c:pt idx="213">
                  <c:v>449.97</c:v>
                </c:pt>
                <c:pt idx="214">
                  <c:v>2699.97</c:v>
                </c:pt>
                <c:pt idx="215">
                  <c:v>599.97</c:v>
                </c:pt>
                <c:pt idx="216">
                  <c:v>1499.95</c:v>
                </c:pt>
                <c:pt idx="217">
                  <c:v>699.99</c:v>
                </c:pt>
                <c:pt idx="218">
                  <c:v>699.99</c:v>
                </c:pt>
                <c:pt idx="219">
                  <c:v>599.96</c:v>
                </c:pt>
                <c:pt idx="220">
                  <c:v>449.95</c:v>
                </c:pt>
                <c:pt idx="221">
                  <c:v>399.98</c:v>
                </c:pt>
                <c:pt idx="222">
                  <c:v>239.96</c:v>
                </c:pt>
                <c:pt idx="223">
                  <c:v>599.98</c:v>
                </c:pt>
                <c:pt idx="224">
                  <c:v>299.98</c:v>
                </c:pt>
                <c:pt idx="225">
                  <c:v>3499.95</c:v>
                </c:pt>
                <c:pt idx="226">
                  <c:v>299.95</c:v>
                </c:pt>
                <c:pt idx="227">
                  <c:v>179.98</c:v>
                </c:pt>
                <c:pt idx="228">
                  <c:v>1249.95</c:v>
                </c:pt>
                <c:pt idx="229">
                  <c:v>299.98</c:v>
                </c:pt>
                <c:pt idx="230">
                  <c:v>4499.95</c:v>
                </c:pt>
                <c:pt idx="231">
                  <c:v>599.96</c:v>
                </c:pt>
                <c:pt idx="232">
                  <c:v>249.99</c:v>
                </c:pt>
                <c:pt idx="233">
                  <c:v>119.98</c:v>
                </c:pt>
                <c:pt idx="234">
                  <c:v>299.98</c:v>
                </c:pt>
                <c:pt idx="235">
                  <c:v>2699.97</c:v>
                </c:pt>
                <c:pt idx="236">
                  <c:v>2699.97</c:v>
                </c:pt>
                <c:pt idx="237">
                  <c:v>899.97</c:v>
                </c:pt>
                <c:pt idx="238">
                  <c:v>599.96</c:v>
                </c:pt>
                <c:pt idx="239">
                  <c:v>319.96</c:v>
                </c:pt>
                <c:pt idx="240">
                  <c:v>449.95</c:v>
                </c:pt>
                <c:pt idx="241">
                  <c:v>449.97</c:v>
                </c:pt>
                <c:pt idx="242">
                  <c:v>179.98</c:v>
                </c:pt>
                <c:pt idx="243">
                  <c:v>1399.98</c:v>
                </c:pt>
                <c:pt idx="244">
                  <c:v>2699.97</c:v>
                </c:pt>
                <c:pt idx="245">
                  <c:v>239.97</c:v>
                </c:pt>
                <c:pt idx="246">
                  <c:v>89.99</c:v>
                </c:pt>
                <c:pt idx="247">
                  <c:v>2099.97</c:v>
                </c:pt>
                <c:pt idx="248">
                  <c:v>179.98</c:v>
                </c:pt>
                <c:pt idx="249">
                  <c:v>269.97</c:v>
                </c:pt>
              </c:numCache>
            </c:numRef>
          </c:yVal>
          <c:smooth val="1"/>
        </c:ser>
        <c:axId val="23758435"/>
        <c:axId val="54773809"/>
      </c:scatterChart>
      <c:valAx>
        <c:axId val="237584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73809"/>
        <c:crosses val="autoZero"/>
        <c:crossBetween val="midCat"/>
      </c:valAx>
      <c:valAx>
        <c:axId val="54773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5843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60000</xdr:colOff>
      <xdr:row>3</xdr:row>
      <xdr:rowOff>0</xdr:rowOff>
    </xdr:from>
    <xdr:to>
      <xdr:col>2</xdr:col>
      <xdr:colOff>880000</xdr:colOff>
      <xdr:row>14</xdr:row>
      <xdr:rowOff>136440</xdr:rowOff>
    </xdr:to>
    <xdr:graphicFrame>
      <xdr:nvGraphicFramePr>
        <xdr:cNvPr id="0" name="Chart 1"/>
        <xdr:cNvGraphicFramePr/>
      </xdr:nvGraphicFramePr>
      <xdr:xfrm>
        <a:off x="0" y="571680"/>
        <a:ext cx="287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60000</xdr:colOff>
      <xdr:row>3</xdr:row>
      <xdr:rowOff>0</xdr:rowOff>
    </xdr:from>
    <xdr:to>
      <xdr:col>5</xdr:col>
      <xdr:colOff>880000</xdr:colOff>
      <xdr:row>14</xdr:row>
      <xdr:rowOff>136440</xdr:rowOff>
    </xdr:to>
    <xdr:graphicFrame>
      <xdr:nvGraphicFramePr>
        <xdr:cNvPr id="1" name="Chart 2"/>
        <xdr:cNvGraphicFramePr/>
      </xdr:nvGraphicFramePr>
      <xdr:xfrm>
        <a:off x="2832840" y="571680"/>
        <a:ext cx="287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60000</xdr:colOff>
      <xdr:row>3</xdr:row>
      <xdr:rowOff>0</xdr:rowOff>
    </xdr:from>
    <xdr:to>
      <xdr:col>8</xdr:col>
      <xdr:colOff>880000</xdr:colOff>
      <xdr:row>14</xdr:row>
      <xdr:rowOff>136440</xdr:rowOff>
    </xdr:to>
    <xdr:graphicFrame>
      <xdr:nvGraphicFramePr>
        <xdr:cNvPr id="2" name="Chart 3"/>
        <xdr:cNvGraphicFramePr/>
      </xdr:nvGraphicFramePr>
      <xdr:xfrm>
        <a:off x="5665320" y="571680"/>
        <a:ext cx="287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3</xdr:col>
      <xdr:colOff>1100000</xdr:colOff>
      <xdr:row>22</xdr:row>
      <xdr:rowOff>32760</xdr:rowOff>
    </xdr:to>
    <xdr:graphicFrame>
      <xdr:nvGraphicFramePr>
        <xdr:cNvPr id="3" name="Chart 1"/>
        <xdr:cNvGraphicFramePr/>
      </xdr:nvGraphicFramePr>
      <xdr:xfrm>
        <a:off x="0" y="21430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200000</xdr:colOff>
      <xdr:row>8</xdr:row>
      <xdr:rowOff>0</xdr:rowOff>
    </xdr:from>
    <xdr:to>
      <xdr:col>7</xdr:col>
      <xdr:colOff>1300000</xdr:colOff>
      <xdr:row>22</xdr:row>
      <xdr:rowOff>32760</xdr:rowOff>
    </xdr:to>
    <xdr:graphicFrame>
      <xdr:nvGraphicFramePr>
        <xdr:cNvPr id="4" name="Chart 2"/>
        <xdr:cNvGraphicFramePr/>
      </xdr:nvGraphicFramePr>
      <xdr:xfrm>
        <a:off x="5638680" y="21430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3</xdr:col>
      <xdr:colOff>1100000</xdr:colOff>
      <xdr:row>39</xdr:row>
      <xdr:rowOff>32760</xdr:rowOff>
    </xdr:to>
    <xdr:graphicFrame>
      <xdr:nvGraphicFramePr>
        <xdr:cNvPr id="5" name="Chart 3"/>
        <xdr:cNvGraphicFramePr/>
      </xdr:nvGraphicFramePr>
      <xdr:xfrm>
        <a:off x="0" y="51912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200000</xdr:colOff>
      <xdr:row>25</xdr:row>
      <xdr:rowOff>0</xdr:rowOff>
    </xdr:from>
    <xdr:to>
      <xdr:col>7</xdr:col>
      <xdr:colOff>1300000</xdr:colOff>
      <xdr:row>39</xdr:row>
      <xdr:rowOff>32760</xdr:rowOff>
    </xdr:to>
    <xdr:graphicFrame>
      <xdr:nvGraphicFramePr>
        <xdr:cNvPr id="6" name="Chart 4"/>
        <xdr:cNvGraphicFramePr/>
      </xdr:nvGraphicFramePr>
      <xdr:xfrm>
        <a:off x="5638680" y="51912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9</xdr:col>
      <xdr:colOff>75960</xdr:colOff>
      <xdr:row>16</xdr:row>
      <xdr:rowOff>2520</xdr:rowOff>
    </xdr:to>
    <xdr:graphicFrame>
      <xdr:nvGraphicFramePr>
        <xdr:cNvPr id="7" name="Chart 1"/>
        <xdr:cNvGraphicFramePr/>
      </xdr:nvGraphicFramePr>
      <xdr:xfrm>
        <a:off x="0" y="3808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9</xdr:col>
      <xdr:colOff>75960</xdr:colOff>
      <xdr:row>34</xdr:row>
      <xdr:rowOff>2520</xdr:rowOff>
    </xdr:to>
    <xdr:graphicFrame>
      <xdr:nvGraphicFramePr>
        <xdr:cNvPr id="8" name="Chart 2"/>
        <xdr:cNvGraphicFramePr/>
      </xdr:nvGraphicFramePr>
      <xdr:xfrm>
        <a:off x="6114960" y="3808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37</xdr:row>
      <xdr:rowOff>160560</xdr:rowOff>
    </xdr:from>
    <xdr:to>
      <xdr:col>9</xdr:col>
      <xdr:colOff>75960</xdr:colOff>
      <xdr:row>52</xdr:row>
      <xdr:rowOff>2520</xdr:rowOff>
    </xdr:to>
    <xdr:graphicFrame>
      <xdr:nvGraphicFramePr>
        <xdr:cNvPr id="9" name="Chart 3"/>
        <xdr:cNvGraphicFramePr/>
      </xdr:nvGraphicFramePr>
      <xdr:xfrm>
        <a:off x="0" y="361944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55</xdr:row>
      <xdr:rowOff>160560</xdr:rowOff>
    </xdr:from>
    <xdr:to>
      <xdr:col>9</xdr:col>
      <xdr:colOff>75960</xdr:colOff>
      <xdr:row>70</xdr:row>
      <xdr:rowOff>2520</xdr:rowOff>
    </xdr:to>
    <xdr:graphicFrame>
      <xdr:nvGraphicFramePr>
        <xdr:cNvPr id="10" name="Chart 4"/>
        <xdr:cNvGraphicFramePr/>
      </xdr:nvGraphicFramePr>
      <xdr:xfrm>
        <a:off x="6114960" y="361944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73</xdr:row>
      <xdr:rowOff>160560</xdr:rowOff>
    </xdr:from>
    <xdr:to>
      <xdr:col>9</xdr:col>
      <xdr:colOff>75960</xdr:colOff>
      <xdr:row>88</xdr:row>
      <xdr:rowOff>2520</xdr:rowOff>
    </xdr:to>
    <xdr:graphicFrame>
      <xdr:nvGraphicFramePr>
        <xdr:cNvPr id="11" name="Chart 5"/>
        <xdr:cNvGraphicFramePr/>
      </xdr:nvGraphicFramePr>
      <xdr:xfrm>
        <a:off x="0" y="68580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PR_Final_Project_Data_Intelligence_Dashboard.xlsx" TargetMode="External"/><Relationship Id="rId2" Type="http://schemas.openxmlformats.org/officeDocument/2006/relationships/hyperlink" Target="PR_Final_Project_Data_Intelligence_Dashboard.xlsx" TargetMode="External"/><Relationship Id="rId3" Type="http://schemas.openxmlformats.org/officeDocument/2006/relationships/hyperlink" Target="PR_Final_Project_Data_Intelligence_Dashboard.xlsx" TargetMode="External"/><Relationship Id="rId4" Type="http://schemas.openxmlformats.org/officeDocument/2006/relationships/hyperlink" Target="PR_Final_Project_Data_Intelligence_Dashboard.xlsx" TargetMode="External"/><Relationship Id="rId5" Type="http://schemas.openxmlformats.org/officeDocument/2006/relationships/hyperlink" Target="PR_Final_Project_Data_Intelligence_Dashboard.xlsx" TargetMode="External"/><Relationship Id="rId6" Type="http://schemas.openxmlformats.org/officeDocument/2006/relationships/hyperlink" Target="PR_Final_Project_Data_Intelligence_Dashboard.xlsx" TargetMode="External"/><Relationship Id="rId7" Type="http://schemas.openxmlformats.org/officeDocument/2006/relationships/hyperlink" Target="PR_Final_Project_Data_Intelligence_Dashboard.xlsx" TargetMode="External"/><Relationship Id="rId8" Type="http://schemas.openxmlformats.org/officeDocument/2006/relationships/hyperlink" Target="PR_Final_Project_Data_Intelligence_Dashboard.xlsx" TargetMode="External"/><Relationship Id="rId9" Type="http://schemas.openxmlformats.org/officeDocument/2006/relationships/hyperlink" Target="PR_Final_Project_Data_Intelligence_Dashboard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3.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2"/>
      <c r="H2" s="2"/>
      <c r="I2" s="2"/>
      <c r="J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7" customFormat="false" ht="24" hidden="false" customHeight="true" outlineLevel="0" collapsed="false">
      <c r="B17" s="57" t="s">
        <v>1</v>
      </c>
      <c r="C17" s="4"/>
      <c r="D17" s="5" t="s">
        <v>2</v>
      </c>
      <c r="E17" s="5"/>
      <c r="F17" s="5"/>
      <c r="G17" s="5"/>
      <c r="H17" s="5"/>
      <c r="I17" s="5"/>
      <c r="J17" s="5"/>
    </row>
    <row r="18" customFormat="false" ht="24" hidden="false" customHeight="true" outlineLevel="0" collapsed="false">
      <c r="B18" s="4"/>
      <c r="C18" s="4"/>
      <c r="D18" s="5"/>
      <c r="E18" s="5"/>
      <c r="F18" s="5"/>
      <c r="G18" s="5"/>
      <c r="H18" s="5"/>
      <c r="I18" s="5"/>
      <c r="J18" s="5"/>
    </row>
    <row r="19" customFormat="false" ht="24" hidden="false" customHeight="true" outlineLevel="0" collapsed="false">
      <c r="B19" s="4"/>
      <c r="C19" s="4"/>
      <c r="D19" s="5"/>
      <c r="E19" s="5"/>
      <c r="F19" s="5"/>
      <c r="G19" s="5"/>
      <c r="H19" s="5"/>
      <c r="I19" s="5"/>
      <c r="J19" s="5"/>
    </row>
    <row r="20" customFormat="false" ht="24" hidden="false" customHeight="true" outlineLevel="0" collapsed="false">
      <c r="B20" s="4"/>
      <c r="C20" s="4"/>
      <c r="D20" s="6" t="s">
        <v>3</v>
      </c>
      <c r="E20" s="6"/>
      <c r="F20" s="6"/>
      <c r="G20" s="6"/>
      <c r="H20" s="6"/>
      <c r="I20" s="6"/>
      <c r="J20" s="6"/>
    </row>
    <row r="21" customFormat="false" ht="24" hidden="false" customHeight="true" outlineLevel="0" collapsed="false">
      <c r="B21" s="4"/>
      <c r="C21" s="4"/>
      <c r="D21" s="6"/>
      <c r="E21" s="6"/>
      <c r="F21" s="6"/>
      <c r="G21" s="6"/>
      <c r="H21" s="6"/>
      <c r="I21" s="6"/>
      <c r="J21" s="6"/>
    </row>
    <row r="22" customFormat="false" ht="24" hidden="false" customHeight="true" outlineLevel="0" collapsed="false"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4</v>
      </c>
      <c r="B24" s="7"/>
      <c r="C24" s="7"/>
      <c r="D24" s="7"/>
      <c r="E24" s="7"/>
      <c r="F24" s="7"/>
      <c r="G24" s="7"/>
      <c r="H24" s="7"/>
      <c r="I24" s="7"/>
      <c r="J24" s="7"/>
    </row>
    <row r="26" customFormat="false" ht="15" hidden="false" customHeight="false" outlineLevel="0" collapsed="false">
      <c r="A26" s="8" t="s">
        <v>5</v>
      </c>
      <c r="B26" s="8"/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</row>
    <row r="29" customFormat="false" ht="33.75" hidden="false" customHeight="true" outlineLevel="0" collapsed="false">
      <c r="B29" s="9" t="s">
        <v>6</v>
      </c>
      <c r="C29" s="9"/>
      <c r="D29" s="9"/>
      <c r="E29" s="10" t="s">
        <v>7</v>
      </c>
      <c r="F29" s="10"/>
      <c r="G29" s="10"/>
      <c r="H29" s="10"/>
      <c r="I29" s="10"/>
    </row>
    <row r="30" customFormat="false" ht="33.75" hidden="false" customHeight="true" outlineLevel="0" collapsed="false">
      <c r="B30" s="9" t="s">
        <v>8</v>
      </c>
      <c r="C30" s="9"/>
      <c r="D30" s="9"/>
      <c r="E30" s="10" t="s">
        <v>9</v>
      </c>
      <c r="F30" s="10"/>
      <c r="G30" s="10"/>
      <c r="H30" s="10"/>
      <c r="I30" s="10"/>
    </row>
    <row r="31" customFormat="false" ht="33.75" hidden="false" customHeight="true" outlineLevel="0" collapsed="false">
      <c r="B31" s="9" t="s">
        <v>10</v>
      </c>
      <c r="C31" s="9"/>
      <c r="D31" s="9"/>
      <c r="E31" s="11" t="n">
        <v>46308</v>
      </c>
      <c r="F31" s="11"/>
      <c r="G31" s="11"/>
      <c r="H31" s="11"/>
      <c r="I31" s="11"/>
    </row>
    <row r="33" customFormat="false" ht="15" hidden="false" customHeight="false" outlineLevel="0" collapsed="false">
      <c r="A33" s="12" t="s">
        <v>11</v>
      </c>
      <c r="B33" s="12"/>
      <c r="C33" s="12"/>
      <c r="D33" s="12"/>
      <c r="E33" s="12"/>
      <c r="F33" s="12"/>
      <c r="G33" s="12"/>
      <c r="H33" s="12"/>
      <c r="I33" s="12"/>
      <c r="J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customFormat="false" ht="7.5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</row>
  </sheetData>
  <mergeCells count="13">
    <mergeCell ref="G1:J2"/>
    <mergeCell ref="B17:C21"/>
    <mergeCell ref="D17:J19"/>
    <mergeCell ref="D20:J22"/>
    <mergeCell ref="A24:J24"/>
    <mergeCell ref="A26:J27"/>
    <mergeCell ref="B29:D29"/>
    <mergeCell ref="E29:I29"/>
    <mergeCell ref="B30:D30"/>
    <mergeCell ref="E30:I30"/>
    <mergeCell ref="B31:D31"/>
    <mergeCell ref="E31:I31"/>
    <mergeCell ref="A33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5"/>
  </cols>
  <sheetData>
    <row r="1" customFormat="false" ht="25.5" hidden="false" customHeight="true" outlineLevel="0" collapsed="false">
      <c r="A1" s="14" t="s">
        <v>12</v>
      </c>
      <c r="B1" s="14"/>
      <c r="C1" s="14"/>
    </row>
    <row r="2" customFormat="false" ht="24" hidden="false" customHeight="true" outlineLevel="0" collapsed="false">
      <c r="A2" s="15" t="n">
        <v>1</v>
      </c>
      <c r="B2" s="16" t="s">
        <v>13</v>
      </c>
      <c r="C2" s="17" t="s">
        <v>14</v>
      </c>
    </row>
    <row r="3" customFormat="false" ht="24" hidden="false" customHeight="true" outlineLevel="0" collapsed="false">
      <c r="A3" s="15" t="n">
        <v>2</v>
      </c>
      <c r="B3" s="16" t="s">
        <v>15</v>
      </c>
      <c r="C3" s="17" t="s">
        <v>16</v>
      </c>
    </row>
    <row r="4" customFormat="false" ht="24" hidden="false" customHeight="true" outlineLevel="0" collapsed="false">
      <c r="A4" s="15" t="n">
        <v>3</v>
      </c>
      <c r="B4" s="16" t="s">
        <v>17</v>
      </c>
      <c r="C4" s="17" t="s">
        <v>18</v>
      </c>
    </row>
    <row r="5" customFormat="false" ht="24" hidden="false" customHeight="true" outlineLevel="0" collapsed="false">
      <c r="A5" s="15" t="n">
        <v>4</v>
      </c>
      <c r="B5" s="16" t="s">
        <v>19</v>
      </c>
      <c r="C5" s="17" t="s">
        <v>20</v>
      </c>
    </row>
    <row r="6" customFormat="false" ht="24" hidden="false" customHeight="true" outlineLevel="0" collapsed="false">
      <c r="A6" s="15" t="n">
        <v>5</v>
      </c>
      <c r="B6" s="16" t="s">
        <v>21</v>
      </c>
      <c r="C6" s="17" t="s">
        <v>22</v>
      </c>
    </row>
    <row r="7" customFormat="false" ht="24" hidden="false" customHeight="true" outlineLevel="0" collapsed="false">
      <c r="A7" s="15" t="n">
        <v>6</v>
      </c>
      <c r="B7" s="16" t="s">
        <v>23</v>
      </c>
      <c r="C7" s="17" t="s">
        <v>24</v>
      </c>
    </row>
    <row r="8" customFormat="false" ht="24" hidden="false" customHeight="true" outlineLevel="0" collapsed="false">
      <c r="A8" s="15" t="n">
        <v>7</v>
      </c>
      <c r="B8" s="16" t="s">
        <v>25</v>
      </c>
      <c r="C8" s="17" t="s">
        <v>26</v>
      </c>
    </row>
    <row r="9" customFormat="false" ht="24" hidden="false" customHeight="true" outlineLevel="0" collapsed="false">
      <c r="A9" s="15" t="n">
        <v>8</v>
      </c>
      <c r="B9" s="16" t="s">
        <v>27</v>
      </c>
      <c r="C9" s="17" t="s">
        <v>28</v>
      </c>
    </row>
    <row r="10" customFormat="false" ht="24" hidden="false" customHeight="true" outlineLevel="0" collapsed="false">
      <c r="A10" s="15" t="n">
        <v>9</v>
      </c>
      <c r="B10" s="16" t="s">
        <v>29</v>
      </c>
      <c r="C10" s="17" t="s">
        <v>30</v>
      </c>
    </row>
  </sheetData>
  <mergeCells count="1">
    <mergeCell ref="A1:C1"/>
  </mergeCells>
  <hyperlinks>
    <hyperlink ref="B2" r:id="rId1" location="'Dashboard'!A1" display="Dashboard"/>
    <hyperlink ref="B3" r:id="rId2" location="'Guide'!A1" display="Guide"/>
    <hyperlink ref="B4" r:id="rId3" location="'Raw%20Data'!A1" display="Raw Data"/>
    <hyperlink ref="B5" r:id="rId4" location="'Analysis'!A1" display="Analysis"/>
    <hyperlink ref="B6" r:id="rId5" location="'Filter'!A1" display="Filter"/>
    <hyperlink ref="B7" r:id="rId6" location="'What-If'!A1" display="What-If"/>
    <hyperlink ref="B8" r:id="rId7" location="'Regression'!A1" display="Regression"/>
    <hyperlink ref="B9" r:id="rId8" location="'Visualizations'!A1" display="Visualizations"/>
    <hyperlink ref="B10" r:id="rId9" location="'Final%20Report'!A1" display="Final Repo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33.75" hidden="false" customHeight="true" outlineLevel="0" collapsed="false">
      <c r="A1" s="18" t="s">
        <v>31</v>
      </c>
      <c r="B1" s="18"/>
      <c r="C1" s="18"/>
      <c r="D1" s="18"/>
      <c r="E1" s="18"/>
      <c r="F1" s="18"/>
      <c r="G1" s="18"/>
      <c r="H1" s="18"/>
    </row>
    <row r="2" customFormat="false" ht="15" hidden="false" customHeight="false" outlineLevel="0" collapsed="false">
      <c r="A2" s="19" t="str">
        <f aca="false">"Data: "&amp;TEXT(Analysis!B6,"dd-mmm-yyyy")&amp;" to "&amp;TEXT(Analysis!B7,"dd-mmm-yyyy")&amp;"   |   Refreshed: "&amp;TEXT(Analysis!B5,"dd-mmm-yyyy hh:mm")</f>
        <v>Data: 11-Apr-2024 to 11-Apr-2025   |   Refreshed: 09-Oct-2026 10:58</v>
      </c>
    </row>
    <row r="3" customFormat="false" ht="15" hidden="false" customHeight="false" outlineLevel="0" collapsed="false">
      <c r="A3" s="20" t="s">
        <v>32</v>
      </c>
      <c r="B3" s="20"/>
      <c r="C3" s="20" t="s">
        <v>33</v>
      </c>
      <c r="D3" s="20"/>
      <c r="E3" s="20" t="s">
        <v>34</v>
      </c>
      <c r="F3" s="20"/>
      <c r="G3" s="20" t="s">
        <v>35</v>
      </c>
      <c r="H3" s="20"/>
    </row>
    <row r="4" customFormat="false" ht="30" hidden="false" customHeight="true" outlineLevel="0" collapsed="false">
      <c r="A4" s="21" t="n">
        <f aca="false">SUM('Raw Data'!$N$2:$N$251)</f>
        <v>229192.47</v>
      </c>
      <c r="B4" s="21"/>
      <c r="C4" s="22" t="n">
        <f aca="false">COUNTA('Raw Data'!$A$2:$A$251)</f>
        <v>250</v>
      </c>
      <c r="D4" s="22"/>
      <c r="E4" s="23" t="n">
        <f aca="false">A4/C4</f>
        <v>916.76988</v>
      </c>
      <c r="F4" s="23"/>
      <c r="G4" s="24" t="n">
        <f aca="false">COUNTIF(Analysis!C14:C63,"&gt;0")</f>
        <v>50</v>
      </c>
      <c r="H4" s="24"/>
    </row>
    <row r="6" customFormat="false" ht="15" hidden="false" customHeight="false" outlineLevel="0" collapsed="false">
      <c r="A6" s="20" t="s">
        <v>36</v>
      </c>
      <c r="B6" s="20"/>
      <c r="C6" s="20" t="s">
        <v>37</v>
      </c>
      <c r="D6" s="20"/>
      <c r="E6" s="20" t="s">
        <v>38</v>
      </c>
      <c r="F6" s="20"/>
      <c r="G6" s="20" t="s">
        <v>39</v>
      </c>
      <c r="H6" s="20"/>
    </row>
    <row r="7" customFormat="false" ht="30" hidden="false" customHeight="true" outlineLevel="0" collapsed="false">
      <c r="A7" s="25" t="str">
        <f aca="false">Analysis!B65</f>
        <v>Mark Carter</v>
      </c>
      <c r="B7" s="25"/>
      <c r="C7" s="25" t="str">
        <f aca="false">Analysis!B83</f>
        <v>Laptop</v>
      </c>
      <c r="D7" s="25"/>
      <c r="E7" s="25" t="str">
        <f aca="false">Analysis!B93</f>
        <v>East</v>
      </c>
      <c r="F7" s="25"/>
      <c r="G7" s="26" t="n">
        <f aca="false">Analysis!F127</f>
        <v>0.238341491706587</v>
      </c>
      <c r="H7" s="26"/>
    </row>
  </sheetData>
  <mergeCells count="17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6:B6"/>
    <mergeCell ref="C6:D6"/>
    <mergeCell ref="E6:F6"/>
    <mergeCell ref="G6:H6"/>
    <mergeCell ref="A7:B7"/>
    <mergeCell ref="C7:D7"/>
    <mergeCell ref="E7:F7"/>
    <mergeCell ref="G7:H7"/>
  </mergeCells>
  <conditionalFormatting sqref="G7">
    <cfRule type="iconSet" priority="2">
      <iconSet iconSet="3Arrows">
        <cfvo type="num" val="-1"/>
        <cfvo type="num" val="-0.0001"/>
        <cfvo type="num" val="0.0001"/>
      </iconSet>
    </cfRule>
    <cfRule type="expression" priority="3" aboveAverage="0" equalAverage="0" bottom="0" percent="0" rank="0" text="" dxfId="0">
      <formula>G7&lt;0</formula>
    </cfRule>
    <cfRule type="expression" priority="4" aboveAverage="0" equalAverage="0" bottom="0" percent="0" rank="0" text="" dxfId="1">
      <formula>G7&gt;=0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27" t="s">
        <v>40</v>
      </c>
    </row>
    <row r="3" customFormat="false" ht="61.5" hidden="false" customHeight="true" outlineLevel="0" collapsed="false">
      <c r="A3" s="28" t="s">
        <v>41</v>
      </c>
      <c r="B3" s="29" t="s">
        <v>42</v>
      </c>
    </row>
    <row r="4" customFormat="false" ht="61.5" hidden="false" customHeight="true" outlineLevel="0" collapsed="false">
      <c r="A4" s="28" t="s">
        <v>43</v>
      </c>
      <c r="B4" s="29" t="s">
        <v>44</v>
      </c>
    </row>
    <row r="5" customFormat="false" ht="61.5" hidden="false" customHeight="true" outlineLevel="0" collapsed="false">
      <c r="A5" s="28" t="s">
        <v>45</v>
      </c>
      <c r="B5" s="29" t="s">
        <v>46</v>
      </c>
    </row>
    <row r="6" customFormat="false" ht="61.5" hidden="false" customHeight="true" outlineLevel="0" collapsed="false">
      <c r="A6" s="28" t="s">
        <v>47</v>
      </c>
      <c r="B6" s="29" t="s">
        <v>48</v>
      </c>
    </row>
    <row r="7" customFormat="false" ht="61.5" hidden="false" customHeight="true" outlineLevel="0" collapsed="false">
      <c r="A7" s="28" t="s">
        <v>49</v>
      </c>
      <c r="B7" s="29" t="s">
        <v>50</v>
      </c>
    </row>
    <row r="8" customFormat="false" ht="61.5" hidden="false" customHeight="true" outlineLevel="0" collapsed="false">
      <c r="A8" s="28" t="s">
        <v>51</v>
      </c>
      <c r="B8" s="29" t="s">
        <v>52</v>
      </c>
    </row>
    <row r="9" customFormat="false" ht="61.5" hidden="false" customHeight="true" outlineLevel="0" collapsed="false">
      <c r="A9" s="28" t="s">
        <v>53</v>
      </c>
      <c r="B9" s="29" t="s">
        <v>54</v>
      </c>
    </row>
    <row r="10" customFormat="false" ht="61.5" hidden="false" customHeight="true" outlineLevel="0" collapsed="false">
      <c r="A10" s="28" t="s">
        <v>55</v>
      </c>
      <c r="B10" s="29" t="s">
        <v>56</v>
      </c>
    </row>
    <row r="11" customFormat="false" ht="61.5" hidden="false" customHeight="true" outlineLevel="0" collapsed="false">
      <c r="A11" s="28" t="s">
        <v>57</v>
      </c>
      <c r="B11" s="29" t="s">
        <v>58</v>
      </c>
    </row>
    <row r="12" customFormat="false" ht="61.5" hidden="false" customHeight="true" outlineLevel="0" collapsed="false">
      <c r="A12" s="28" t="s">
        <v>59</v>
      </c>
      <c r="B12" s="29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17"/>
    <col collapsed="false" customWidth="true" hidden="false" outlineLevel="0" max="13" min="13" style="0" width="15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7" min="17" style="0" width="11"/>
  </cols>
  <sheetData>
    <row r="1" customFormat="false" ht="31.5" hidden="false" customHeight="true" outlineLevel="0" collapsed="false">
      <c r="A1" s="30" t="s">
        <v>61</v>
      </c>
      <c r="B1" s="30" t="s">
        <v>10</v>
      </c>
      <c r="C1" s="30" t="s">
        <v>62</v>
      </c>
      <c r="D1" s="30" t="s">
        <v>63</v>
      </c>
      <c r="E1" s="30" t="s">
        <v>64</v>
      </c>
      <c r="F1" s="30" t="s">
        <v>65</v>
      </c>
      <c r="G1" s="30" t="s">
        <v>66</v>
      </c>
      <c r="H1" s="30" t="s">
        <v>67</v>
      </c>
      <c r="I1" s="30" t="s">
        <v>68</v>
      </c>
      <c r="J1" s="30" t="s">
        <v>69</v>
      </c>
      <c r="K1" s="30" t="s">
        <v>70</v>
      </c>
      <c r="L1" s="30" t="s">
        <v>71</v>
      </c>
      <c r="M1" s="30" t="s">
        <v>72</v>
      </c>
      <c r="N1" s="30" t="s">
        <v>73</v>
      </c>
      <c r="O1" s="30" t="s">
        <v>74</v>
      </c>
      <c r="P1" s="30" t="s">
        <v>75</v>
      </c>
      <c r="Q1" s="30" t="s">
        <v>76</v>
      </c>
    </row>
    <row r="2" customFormat="false" ht="15" hidden="false" customHeight="false" outlineLevel="0" collapsed="false">
      <c r="A2" s="31" t="s">
        <v>77</v>
      </c>
      <c r="B2" s="32" t="n">
        <v>45393</v>
      </c>
      <c r="C2" s="31" t="s">
        <v>78</v>
      </c>
      <c r="D2" s="31" t="s">
        <v>79</v>
      </c>
      <c r="E2" s="31" t="s">
        <v>80</v>
      </c>
      <c r="F2" s="31" t="s">
        <v>81</v>
      </c>
      <c r="G2" s="31" t="s">
        <v>82</v>
      </c>
      <c r="H2" s="31" t="n">
        <v>3</v>
      </c>
      <c r="I2" s="33" t="n">
        <v>249.99</v>
      </c>
      <c r="J2" s="31" t="s">
        <v>83</v>
      </c>
      <c r="K2" s="31" t="s">
        <v>84</v>
      </c>
      <c r="L2" s="31" t="s">
        <v>85</v>
      </c>
      <c r="M2" s="32" t="n">
        <v>44425</v>
      </c>
      <c r="N2" s="33" t="n">
        <f aca="false">H2*I2</f>
        <v>749.97</v>
      </c>
      <c r="O2" s="31" t="n">
        <f aca="true">DATEDIF(B2,TODAY(),"d")</f>
        <v>911</v>
      </c>
      <c r="P2" s="32" t="n">
        <f aca="false">EOMONTH(B2,0)</f>
        <v>45412</v>
      </c>
      <c r="Q2" s="31" t="str">
        <f aca="false">IF(K2=Filter!$B$2,COUNTIF(K$2:K2,Filter!$B$2),"")</f>
        <v/>
      </c>
    </row>
    <row r="3" customFormat="false" ht="15" hidden="false" customHeight="false" outlineLevel="0" collapsed="false">
      <c r="A3" s="31" t="s">
        <v>86</v>
      </c>
      <c r="B3" s="32" t="n">
        <v>45396</v>
      </c>
      <c r="C3" s="31" t="s">
        <v>87</v>
      </c>
      <c r="D3" s="31" t="s">
        <v>88</v>
      </c>
      <c r="E3" s="31" t="s">
        <v>80</v>
      </c>
      <c r="F3" s="31" t="s">
        <v>81</v>
      </c>
      <c r="G3" s="31" t="s">
        <v>82</v>
      </c>
      <c r="H3" s="31" t="n">
        <v>3</v>
      </c>
      <c r="I3" s="33" t="n">
        <v>249.99</v>
      </c>
      <c r="J3" s="31" t="s">
        <v>89</v>
      </c>
      <c r="K3" s="31" t="s">
        <v>84</v>
      </c>
      <c r="L3" s="31" t="s">
        <v>90</v>
      </c>
      <c r="M3" s="32" t="n">
        <v>44575</v>
      </c>
      <c r="N3" s="33" t="n">
        <f aca="false">H3*I3</f>
        <v>749.97</v>
      </c>
      <c r="O3" s="31" t="n">
        <f aca="true">DATEDIF(B3,TODAY(),"d")</f>
        <v>908</v>
      </c>
      <c r="P3" s="32" t="n">
        <f aca="false">EOMONTH(B3,0)</f>
        <v>45412</v>
      </c>
      <c r="Q3" s="31" t="str">
        <f aca="false">IF(K3=Filter!$B$2,COUNTIF(K$2:K3,Filter!$B$2),"")</f>
        <v/>
      </c>
    </row>
    <row r="4" customFormat="false" ht="15" hidden="false" customHeight="false" outlineLevel="0" collapsed="false">
      <c r="A4" s="31" t="s">
        <v>91</v>
      </c>
      <c r="B4" s="32" t="n">
        <v>45399</v>
      </c>
      <c r="C4" s="31" t="s">
        <v>92</v>
      </c>
      <c r="D4" s="31" t="s">
        <v>93</v>
      </c>
      <c r="E4" s="31" t="s">
        <v>94</v>
      </c>
      <c r="F4" s="31" t="s">
        <v>95</v>
      </c>
      <c r="G4" s="31" t="s">
        <v>96</v>
      </c>
      <c r="H4" s="31" t="n">
        <v>3</v>
      </c>
      <c r="I4" s="33" t="n">
        <v>59.99</v>
      </c>
      <c r="J4" s="31" t="s">
        <v>97</v>
      </c>
      <c r="K4" s="31" t="s">
        <v>98</v>
      </c>
      <c r="L4" s="31" t="s">
        <v>99</v>
      </c>
      <c r="M4" s="32" t="n">
        <v>45262</v>
      </c>
      <c r="N4" s="33" t="n">
        <f aca="false">H4*I4</f>
        <v>179.97</v>
      </c>
      <c r="O4" s="31" t="n">
        <f aca="true">DATEDIF(B4,TODAY(),"d")</f>
        <v>905</v>
      </c>
      <c r="P4" s="32" t="n">
        <f aca="false">EOMONTH(B4,0)</f>
        <v>45412</v>
      </c>
      <c r="Q4" s="31" t="str">
        <f aca="false">IF(K4=Filter!$B$2,COUNTIF(K$2:K4,Filter!$B$2),"")</f>
        <v/>
      </c>
    </row>
    <row r="5" customFormat="false" ht="15" hidden="false" customHeight="false" outlineLevel="0" collapsed="false">
      <c r="A5" s="31" t="s">
        <v>100</v>
      </c>
      <c r="B5" s="32" t="n">
        <v>45400</v>
      </c>
      <c r="C5" s="31" t="s">
        <v>101</v>
      </c>
      <c r="D5" s="31" t="s">
        <v>102</v>
      </c>
      <c r="E5" s="31" t="s">
        <v>94</v>
      </c>
      <c r="F5" s="31" t="s">
        <v>95</v>
      </c>
      <c r="G5" s="31" t="s">
        <v>96</v>
      </c>
      <c r="H5" s="31" t="n">
        <v>3</v>
      </c>
      <c r="I5" s="33" t="n">
        <v>59.99</v>
      </c>
      <c r="J5" s="31" t="s">
        <v>83</v>
      </c>
      <c r="K5" s="31" t="s">
        <v>103</v>
      </c>
      <c r="L5" s="31" t="s">
        <v>90</v>
      </c>
      <c r="M5" s="32" t="n">
        <v>45114</v>
      </c>
      <c r="N5" s="33" t="n">
        <f aca="false">H5*I5</f>
        <v>179.97</v>
      </c>
      <c r="O5" s="31" t="n">
        <f aca="true">DATEDIF(B5,TODAY(),"d")</f>
        <v>904</v>
      </c>
      <c r="P5" s="32" t="n">
        <f aca="false">EOMONTH(B5,0)</f>
        <v>45412</v>
      </c>
      <c r="Q5" s="31" t="str">
        <f aca="false">IF(K5=Filter!$B$2,COUNTIF(K$2:K5,Filter!$B$2),"")</f>
        <v/>
      </c>
    </row>
    <row r="6" customFormat="false" ht="15" hidden="false" customHeight="false" outlineLevel="0" collapsed="false">
      <c r="A6" s="31" t="s">
        <v>104</v>
      </c>
      <c r="B6" s="32" t="n">
        <v>45400</v>
      </c>
      <c r="C6" s="31" t="s">
        <v>105</v>
      </c>
      <c r="D6" s="31" t="s">
        <v>106</v>
      </c>
      <c r="E6" s="31" t="s">
        <v>107</v>
      </c>
      <c r="F6" s="31" t="s">
        <v>108</v>
      </c>
      <c r="G6" s="31" t="s">
        <v>109</v>
      </c>
      <c r="H6" s="31" t="n">
        <v>5</v>
      </c>
      <c r="I6" s="33" t="n">
        <v>149.99</v>
      </c>
      <c r="J6" s="31" t="s">
        <v>89</v>
      </c>
      <c r="K6" s="31" t="s">
        <v>103</v>
      </c>
      <c r="L6" s="31" t="s">
        <v>90</v>
      </c>
      <c r="M6" s="32" t="n">
        <v>45295</v>
      </c>
      <c r="N6" s="33" t="n">
        <f aca="false">H6*I6</f>
        <v>749.95</v>
      </c>
      <c r="O6" s="31" t="n">
        <f aca="true">DATEDIF(B6,TODAY(),"d")</f>
        <v>904</v>
      </c>
      <c r="P6" s="32" t="n">
        <f aca="false">EOMONTH(B6,0)</f>
        <v>45412</v>
      </c>
      <c r="Q6" s="31" t="str">
        <f aca="false">IF(K6=Filter!$B$2,COUNTIF(K$2:K6,Filter!$B$2),"")</f>
        <v/>
      </c>
    </row>
    <row r="7" customFormat="false" ht="15" hidden="false" customHeight="false" outlineLevel="0" collapsed="false">
      <c r="A7" s="31" t="s">
        <v>110</v>
      </c>
      <c r="B7" s="32" t="n">
        <v>45403</v>
      </c>
      <c r="C7" s="31" t="s">
        <v>111</v>
      </c>
      <c r="D7" s="31" t="s">
        <v>112</v>
      </c>
      <c r="E7" s="31" t="s">
        <v>94</v>
      </c>
      <c r="F7" s="31" t="s">
        <v>95</v>
      </c>
      <c r="G7" s="31" t="s">
        <v>96</v>
      </c>
      <c r="H7" s="31" t="n">
        <v>2</v>
      </c>
      <c r="I7" s="33" t="n">
        <v>59.99</v>
      </c>
      <c r="J7" s="31" t="s">
        <v>83</v>
      </c>
      <c r="K7" s="31" t="s">
        <v>113</v>
      </c>
      <c r="L7" s="31" t="s">
        <v>99</v>
      </c>
      <c r="M7" s="32" t="n">
        <v>44746</v>
      </c>
      <c r="N7" s="33" t="n">
        <f aca="false">H7*I7</f>
        <v>119.98</v>
      </c>
      <c r="O7" s="31" t="n">
        <f aca="true">DATEDIF(B7,TODAY(),"d")</f>
        <v>901</v>
      </c>
      <c r="P7" s="32" t="n">
        <f aca="false">EOMONTH(B7,0)</f>
        <v>45412</v>
      </c>
      <c r="Q7" s="31" t="n">
        <f aca="false">IF(K7=Filter!$B$2,COUNTIF(K$2:K7,Filter!$B$2),"")</f>
        <v>1</v>
      </c>
    </row>
    <row r="8" customFormat="false" ht="15" hidden="false" customHeight="false" outlineLevel="0" collapsed="false">
      <c r="A8" s="31" t="s">
        <v>114</v>
      </c>
      <c r="B8" s="32" t="n">
        <v>45403</v>
      </c>
      <c r="C8" s="31" t="s">
        <v>111</v>
      </c>
      <c r="D8" s="31" t="s">
        <v>112</v>
      </c>
      <c r="E8" s="31" t="s">
        <v>115</v>
      </c>
      <c r="F8" s="31" t="s">
        <v>116</v>
      </c>
      <c r="G8" s="31" t="s">
        <v>82</v>
      </c>
      <c r="H8" s="31" t="n">
        <v>5</v>
      </c>
      <c r="I8" s="33" t="n">
        <v>149.99</v>
      </c>
      <c r="J8" s="31" t="s">
        <v>89</v>
      </c>
      <c r="K8" s="31" t="s">
        <v>84</v>
      </c>
      <c r="L8" s="31" t="s">
        <v>99</v>
      </c>
      <c r="M8" s="32" t="n">
        <v>44418</v>
      </c>
      <c r="N8" s="33" t="n">
        <f aca="false">H8*I8</f>
        <v>749.95</v>
      </c>
      <c r="O8" s="31" t="n">
        <f aca="true">DATEDIF(B8,TODAY(),"d")</f>
        <v>901</v>
      </c>
      <c r="P8" s="32" t="n">
        <f aca="false">EOMONTH(B8,0)</f>
        <v>45412</v>
      </c>
      <c r="Q8" s="31" t="str">
        <f aca="false">IF(K8=Filter!$B$2,COUNTIF(K$2:K8,Filter!$B$2),"")</f>
        <v/>
      </c>
    </row>
    <row r="9" customFormat="false" ht="15" hidden="false" customHeight="false" outlineLevel="0" collapsed="false">
      <c r="A9" s="31" t="s">
        <v>117</v>
      </c>
      <c r="B9" s="32" t="n">
        <v>45403</v>
      </c>
      <c r="C9" s="31" t="s">
        <v>118</v>
      </c>
      <c r="D9" s="31" t="s">
        <v>119</v>
      </c>
      <c r="E9" s="31" t="s">
        <v>94</v>
      </c>
      <c r="F9" s="31" t="s">
        <v>95</v>
      </c>
      <c r="G9" s="31" t="s">
        <v>96</v>
      </c>
      <c r="H9" s="31" t="n">
        <v>3</v>
      </c>
      <c r="I9" s="33" t="n">
        <v>59.99</v>
      </c>
      <c r="J9" s="31" t="s">
        <v>120</v>
      </c>
      <c r="K9" s="31" t="s">
        <v>98</v>
      </c>
      <c r="L9" s="31" t="s">
        <v>85</v>
      </c>
      <c r="M9" s="32" t="n">
        <v>45007</v>
      </c>
      <c r="N9" s="33" t="n">
        <f aca="false">H9*I9</f>
        <v>179.97</v>
      </c>
      <c r="O9" s="31" t="n">
        <f aca="true">DATEDIF(B9,TODAY(),"d")</f>
        <v>901</v>
      </c>
      <c r="P9" s="32" t="n">
        <f aca="false">EOMONTH(B9,0)</f>
        <v>45412</v>
      </c>
      <c r="Q9" s="31" t="str">
        <f aca="false">IF(K9=Filter!$B$2,COUNTIF(K$2:K9,Filter!$B$2),"")</f>
        <v/>
      </c>
    </row>
    <row r="10" customFormat="false" ht="15" hidden="false" customHeight="false" outlineLevel="0" collapsed="false">
      <c r="A10" s="31" t="s">
        <v>121</v>
      </c>
      <c r="B10" s="32" t="n">
        <v>45405</v>
      </c>
      <c r="C10" s="31" t="s">
        <v>122</v>
      </c>
      <c r="D10" s="31" t="s">
        <v>123</v>
      </c>
      <c r="E10" s="31" t="s">
        <v>124</v>
      </c>
      <c r="F10" s="31" t="s">
        <v>125</v>
      </c>
      <c r="G10" s="31" t="s">
        <v>82</v>
      </c>
      <c r="H10" s="31" t="n">
        <v>3</v>
      </c>
      <c r="I10" s="33" t="n">
        <v>899.99</v>
      </c>
      <c r="J10" s="31" t="s">
        <v>97</v>
      </c>
      <c r="K10" s="31" t="s">
        <v>126</v>
      </c>
      <c r="L10" s="31" t="s">
        <v>99</v>
      </c>
      <c r="M10" s="32" t="n">
        <v>45299</v>
      </c>
      <c r="N10" s="33" t="n">
        <f aca="false">H10*I10</f>
        <v>2699.97</v>
      </c>
      <c r="O10" s="31" t="n">
        <f aca="true">DATEDIF(B10,TODAY(),"d")</f>
        <v>899</v>
      </c>
      <c r="P10" s="32" t="n">
        <f aca="false">EOMONTH(B10,0)</f>
        <v>45412</v>
      </c>
      <c r="Q10" s="31" t="str">
        <f aca="false">IF(K10=Filter!$B$2,COUNTIF(K$2:K10,Filter!$B$2),"")</f>
        <v/>
      </c>
    </row>
    <row r="11" customFormat="false" ht="15" hidden="false" customHeight="false" outlineLevel="0" collapsed="false">
      <c r="A11" s="31" t="s">
        <v>127</v>
      </c>
      <c r="B11" s="32" t="n">
        <v>45408</v>
      </c>
      <c r="C11" s="31" t="s">
        <v>128</v>
      </c>
      <c r="D11" s="31" t="s">
        <v>129</v>
      </c>
      <c r="E11" s="31" t="s">
        <v>94</v>
      </c>
      <c r="F11" s="31" t="s">
        <v>95</v>
      </c>
      <c r="G11" s="31" t="s">
        <v>96</v>
      </c>
      <c r="H11" s="31" t="n">
        <v>3</v>
      </c>
      <c r="I11" s="33" t="n">
        <v>59.99</v>
      </c>
      <c r="J11" s="31" t="s">
        <v>83</v>
      </c>
      <c r="K11" s="31" t="s">
        <v>113</v>
      </c>
      <c r="L11" s="31" t="s">
        <v>90</v>
      </c>
      <c r="M11" s="32" t="n">
        <v>45207</v>
      </c>
      <c r="N11" s="33" t="n">
        <f aca="false">H11*I11</f>
        <v>179.97</v>
      </c>
      <c r="O11" s="31" t="n">
        <f aca="true">DATEDIF(B11,TODAY(),"d")</f>
        <v>896</v>
      </c>
      <c r="P11" s="32" t="n">
        <f aca="false">EOMONTH(B11,0)</f>
        <v>45412</v>
      </c>
      <c r="Q11" s="31" t="n">
        <f aca="false">IF(K11=Filter!$B$2,COUNTIF(K$2:K11,Filter!$B$2),"")</f>
        <v>2</v>
      </c>
    </row>
    <row r="12" customFormat="false" ht="15" hidden="false" customHeight="false" outlineLevel="0" collapsed="false">
      <c r="A12" s="31" t="s">
        <v>130</v>
      </c>
      <c r="B12" s="32" t="n">
        <v>45408</v>
      </c>
      <c r="C12" s="31" t="s">
        <v>131</v>
      </c>
      <c r="D12" s="31" t="s">
        <v>132</v>
      </c>
      <c r="E12" s="31" t="s">
        <v>107</v>
      </c>
      <c r="F12" s="31" t="s">
        <v>108</v>
      </c>
      <c r="G12" s="31" t="s">
        <v>109</v>
      </c>
      <c r="H12" s="31" t="n">
        <v>1</v>
      </c>
      <c r="I12" s="33" t="n">
        <v>149.99</v>
      </c>
      <c r="J12" s="31" t="s">
        <v>89</v>
      </c>
      <c r="K12" s="31" t="s">
        <v>113</v>
      </c>
      <c r="L12" s="31" t="s">
        <v>99</v>
      </c>
      <c r="M12" s="32" t="n">
        <v>45103</v>
      </c>
      <c r="N12" s="33" t="n">
        <f aca="false">H12*I12</f>
        <v>149.99</v>
      </c>
      <c r="O12" s="31" t="n">
        <f aca="true">DATEDIF(B12,TODAY(),"d")</f>
        <v>896</v>
      </c>
      <c r="P12" s="32" t="n">
        <f aca="false">EOMONTH(B12,0)</f>
        <v>45412</v>
      </c>
      <c r="Q12" s="31" t="n">
        <f aca="false">IF(K12=Filter!$B$2,COUNTIF(K$2:K12,Filter!$B$2),"")</f>
        <v>3</v>
      </c>
    </row>
    <row r="13" customFormat="false" ht="15" hidden="false" customHeight="false" outlineLevel="0" collapsed="false">
      <c r="A13" s="31" t="s">
        <v>133</v>
      </c>
      <c r="B13" s="32" t="n">
        <v>45408</v>
      </c>
      <c r="C13" s="31" t="s">
        <v>101</v>
      </c>
      <c r="D13" s="31" t="s">
        <v>102</v>
      </c>
      <c r="E13" s="31" t="s">
        <v>107</v>
      </c>
      <c r="F13" s="31" t="s">
        <v>108</v>
      </c>
      <c r="G13" s="31" t="s">
        <v>109</v>
      </c>
      <c r="H13" s="31" t="n">
        <v>5</v>
      </c>
      <c r="I13" s="33" t="n">
        <v>149.99</v>
      </c>
      <c r="J13" s="31" t="s">
        <v>120</v>
      </c>
      <c r="K13" s="31" t="s">
        <v>103</v>
      </c>
      <c r="L13" s="31" t="s">
        <v>85</v>
      </c>
      <c r="M13" s="32" t="n">
        <v>44830</v>
      </c>
      <c r="N13" s="33" t="n">
        <f aca="false">H13*I13</f>
        <v>749.95</v>
      </c>
      <c r="O13" s="31" t="n">
        <f aca="true">DATEDIF(B13,TODAY(),"d")</f>
        <v>896</v>
      </c>
      <c r="P13" s="32" t="n">
        <f aca="false">EOMONTH(B13,0)</f>
        <v>45412</v>
      </c>
      <c r="Q13" s="31" t="str">
        <f aca="false">IF(K13=Filter!$B$2,COUNTIF(K$2:K13,Filter!$B$2),"")</f>
        <v/>
      </c>
    </row>
    <row r="14" customFormat="false" ht="15" hidden="false" customHeight="false" outlineLevel="0" collapsed="false">
      <c r="A14" s="31" t="s">
        <v>134</v>
      </c>
      <c r="B14" s="32" t="n">
        <v>45408</v>
      </c>
      <c r="C14" s="31" t="s">
        <v>135</v>
      </c>
      <c r="D14" s="31" t="s">
        <v>136</v>
      </c>
      <c r="E14" s="31" t="s">
        <v>107</v>
      </c>
      <c r="F14" s="31" t="s">
        <v>108</v>
      </c>
      <c r="G14" s="31" t="s">
        <v>109</v>
      </c>
      <c r="H14" s="31" t="n">
        <v>3</v>
      </c>
      <c r="I14" s="33" t="n">
        <v>149.99</v>
      </c>
      <c r="J14" s="31" t="s">
        <v>83</v>
      </c>
      <c r="K14" s="31" t="s">
        <v>103</v>
      </c>
      <c r="L14" s="31" t="s">
        <v>90</v>
      </c>
      <c r="M14" s="32" t="n">
        <v>44806</v>
      </c>
      <c r="N14" s="33" t="n">
        <f aca="false">H14*I14</f>
        <v>449.97</v>
      </c>
      <c r="O14" s="31" t="n">
        <f aca="true">DATEDIF(B14,TODAY(),"d")</f>
        <v>896</v>
      </c>
      <c r="P14" s="32" t="n">
        <f aca="false">EOMONTH(B14,0)</f>
        <v>45412</v>
      </c>
      <c r="Q14" s="31" t="str">
        <f aca="false">IF(K14=Filter!$B$2,COUNTIF(K$2:K14,Filter!$B$2),"")</f>
        <v/>
      </c>
    </row>
    <row r="15" customFormat="false" ht="15" hidden="false" customHeight="false" outlineLevel="0" collapsed="false">
      <c r="A15" s="31" t="s">
        <v>137</v>
      </c>
      <c r="B15" s="32" t="n">
        <v>45409</v>
      </c>
      <c r="C15" s="31" t="s">
        <v>138</v>
      </c>
      <c r="D15" s="31" t="s">
        <v>139</v>
      </c>
      <c r="E15" s="31" t="s">
        <v>94</v>
      </c>
      <c r="F15" s="31" t="s">
        <v>95</v>
      </c>
      <c r="G15" s="31" t="s">
        <v>96</v>
      </c>
      <c r="H15" s="31" t="n">
        <v>3</v>
      </c>
      <c r="I15" s="33" t="n">
        <v>59.99</v>
      </c>
      <c r="J15" s="31" t="s">
        <v>89</v>
      </c>
      <c r="K15" s="31" t="s">
        <v>103</v>
      </c>
      <c r="L15" s="31" t="s">
        <v>99</v>
      </c>
      <c r="M15" s="32" t="n">
        <v>45351</v>
      </c>
      <c r="N15" s="33" t="n">
        <f aca="false">H15*I15</f>
        <v>179.97</v>
      </c>
      <c r="O15" s="31" t="n">
        <f aca="true">DATEDIF(B15,TODAY(),"d")</f>
        <v>895</v>
      </c>
      <c r="P15" s="32" t="n">
        <f aca="false">EOMONTH(B15,0)</f>
        <v>45412</v>
      </c>
      <c r="Q15" s="31" t="str">
        <f aca="false">IF(K15=Filter!$B$2,COUNTIF(K$2:K15,Filter!$B$2),"")</f>
        <v/>
      </c>
    </row>
    <row r="16" customFormat="false" ht="15" hidden="false" customHeight="false" outlineLevel="0" collapsed="false">
      <c r="A16" s="31" t="s">
        <v>140</v>
      </c>
      <c r="B16" s="32" t="n">
        <v>45409</v>
      </c>
      <c r="C16" s="31" t="s">
        <v>141</v>
      </c>
      <c r="D16" s="31" t="s">
        <v>142</v>
      </c>
      <c r="E16" s="31" t="s">
        <v>143</v>
      </c>
      <c r="F16" s="31" t="s">
        <v>144</v>
      </c>
      <c r="G16" s="31" t="s">
        <v>82</v>
      </c>
      <c r="H16" s="31" t="n">
        <v>3</v>
      </c>
      <c r="I16" s="33" t="n">
        <v>699.99</v>
      </c>
      <c r="J16" s="31" t="s">
        <v>89</v>
      </c>
      <c r="K16" s="31" t="s">
        <v>113</v>
      </c>
      <c r="L16" s="31" t="s">
        <v>85</v>
      </c>
      <c r="M16" s="32" t="n">
        <v>44577</v>
      </c>
      <c r="N16" s="33" t="n">
        <f aca="false">H16*I16</f>
        <v>2099.97</v>
      </c>
      <c r="O16" s="31" t="n">
        <f aca="true">DATEDIF(B16,TODAY(),"d")</f>
        <v>895</v>
      </c>
      <c r="P16" s="32" t="n">
        <f aca="false">EOMONTH(B16,0)</f>
        <v>45412</v>
      </c>
      <c r="Q16" s="31" t="n">
        <f aca="false">IF(K16=Filter!$B$2,COUNTIF(K$2:K16,Filter!$B$2),"")</f>
        <v>4</v>
      </c>
    </row>
    <row r="17" customFormat="false" ht="15" hidden="false" customHeight="false" outlineLevel="0" collapsed="false">
      <c r="A17" s="31" t="s">
        <v>145</v>
      </c>
      <c r="B17" s="32" t="n">
        <v>45409</v>
      </c>
      <c r="C17" s="31" t="s">
        <v>146</v>
      </c>
      <c r="D17" s="31" t="s">
        <v>147</v>
      </c>
      <c r="E17" s="31" t="s">
        <v>124</v>
      </c>
      <c r="F17" s="31" t="s">
        <v>125</v>
      </c>
      <c r="G17" s="31" t="s">
        <v>82</v>
      </c>
      <c r="H17" s="31" t="n">
        <v>1</v>
      </c>
      <c r="I17" s="33" t="n">
        <v>899.99</v>
      </c>
      <c r="J17" s="31" t="s">
        <v>120</v>
      </c>
      <c r="K17" s="31" t="s">
        <v>103</v>
      </c>
      <c r="L17" s="31" t="s">
        <v>99</v>
      </c>
      <c r="M17" s="32" t="n">
        <v>44920</v>
      </c>
      <c r="N17" s="33" t="n">
        <f aca="false">H17*I17</f>
        <v>899.99</v>
      </c>
      <c r="O17" s="31" t="n">
        <f aca="true">DATEDIF(B17,TODAY(),"d")</f>
        <v>895</v>
      </c>
      <c r="P17" s="32" t="n">
        <f aca="false">EOMONTH(B17,0)</f>
        <v>45412</v>
      </c>
      <c r="Q17" s="31" t="str">
        <f aca="false">IF(K17=Filter!$B$2,COUNTIF(K$2:K17,Filter!$B$2),"")</f>
        <v/>
      </c>
    </row>
    <row r="18" customFormat="false" ht="15" hidden="false" customHeight="false" outlineLevel="0" collapsed="false">
      <c r="A18" s="31" t="s">
        <v>148</v>
      </c>
      <c r="B18" s="32" t="n">
        <v>45410</v>
      </c>
      <c r="C18" s="31" t="s">
        <v>149</v>
      </c>
      <c r="D18" s="31" t="s">
        <v>150</v>
      </c>
      <c r="E18" s="31" t="s">
        <v>107</v>
      </c>
      <c r="F18" s="31" t="s">
        <v>108</v>
      </c>
      <c r="G18" s="31" t="s">
        <v>109</v>
      </c>
      <c r="H18" s="31" t="n">
        <v>4</v>
      </c>
      <c r="I18" s="33" t="n">
        <v>149.99</v>
      </c>
      <c r="J18" s="31" t="s">
        <v>120</v>
      </c>
      <c r="K18" s="31" t="s">
        <v>103</v>
      </c>
      <c r="L18" s="31" t="s">
        <v>90</v>
      </c>
      <c r="M18" s="32" t="n">
        <v>45374</v>
      </c>
      <c r="N18" s="33" t="n">
        <f aca="false">H18*I18</f>
        <v>599.96</v>
      </c>
      <c r="O18" s="31" t="n">
        <f aca="true">DATEDIF(B18,TODAY(),"d")</f>
        <v>894</v>
      </c>
      <c r="P18" s="32" t="n">
        <f aca="false">EOMONTH(B18,0)</f>
        <v>45412</v>
      </c>
      <c r="Q18" s="31" t="str">
        <f aca="false">IF(K18=Filter!$B$2,COUNTIF(K$2:K18,Filter!$B$2),"")</f>
        <v/>
      </c>
    </row>
    <row r="19" customFormat="false" ht="15" hidden="false" customHeight="false" outlineLevel="0" collapsed="false">
      <c r="A19" s="31" t="s">
        <v>151</v>
      </c>
      <c r="B19" s="32" t="n">
        <v>45410</v>
      </c>
      <c r="C19" s="31" t="s">
        <v>152</v>
      </c>
      <c r="D19" s="31" t="s">
        <v>153</v>
      </c>
      <c r="E19" s="31" t="s">
        <v>143</v>
      </c>
      <c r="F19" s="31" t="s">
        <v>144</v>
      </c>
      <c r="G19" s="31" t="s">
        <v>82</v>
      </c>
      <c r="H19" s="31" t="n">
        <v>2</v>
      </c>
      <c r="I19" s="33" t="n">
        <v>699.99</v>
      </c>
      <c r="J19" s="31" t="s">
        <v>83</v>
      </c>
      <c r="K19" s="31" t="s">
        <v>103</v>
      </c>
      <c r="L19" s="31" t="s">
        <v>85</v>
      </c>
      <c r="M19" s="32" t="n">
        <v>44781</v>
      </c>
      <c r="N19" s="33" t="n">
        <f aca="false">H19*I19</f>
        <v>1399.98</v>
      </c>
      <c r="O19" s="31" t="n">
        <f aca="true">DATEDIF(B19,TODAY(),"d")</f>
        <v>894</v>
      </c>
      <c r="P19" s="32" t="n">
        <f aca="false">EOMONTH(B19,0)</f>
        <v>45412</v>
      </c>
      <c r="Q19" s="31" t="str">
        <f aca="false">IF(K19=Filter!$B$2,COUNTIF(K$2:K19,Filter!$B$2),"")</f>
        <v/>
      </c>
    </row>
    <row r="20" customFormat="false" ht="15" hidden="false" customHeight="false" outlineLevel="0" collapsed="false">
      <c r="A20" s="31" t="s">
        <v>154</v>
      </c>
      <c r="B20" s="32" t="n">
        <v>45410</v>
      </c>
      <c r="C20" s="31" t="s">
        <v>149</v>
      </c>
      <c r="D20" s="31" t="s">
        <v>150</v>
      </c>
      <c r="E20" s="31" t="s">
        <v>124</v>
      </c>
      <c r="F20" s="31" t="s">
        <v>125</v>
      </c>
      <c r="G20" s="31" t="s">
        <v>82</v>
      </c>
      <c r="H20" s="31" t="n">
        <v>4</v>
      </c>
      <c r="I20" s="33" t="n">
        <v>899.99</v>
      </c>
      <c r="J20" s="31" t="s">
        <v>89</v>
      </c>
      <c r="K20" s="31" t="s">
        <v>113</v>
      </c>
      <c r="L20" s="31" t="s">
        <v>99</v>
      </c>
      <c r="M20" s="32" t="n">
        <v>45327</v>
      </c>
      <c r="N20" s="33" t="n">
        <f aca="false">H20*I20</f>
        <v>3599.96</v>
      </c>
      <c r="O20" s="31" t="n">
        <f aca="true">DATEDIF(B20,TODAY(),"d")</f>
        <v>894</v>
      </c>
      <c r="P20" s="32" t="n">
        <f aca="false">EOMONTH(B20,0)</f>
        <v>45412</v>
      </c>
      <c r="Q20" s="31" t="n">
        <f aca="false">IF(K20=Filter!$B$2,COUNTIF(K$2:K20,Filter!$B$2),"")</f>
        <v>5</v>
      </c>
    </row>
    <row r="21" customFormat="false" ht="15" hidden="false" customHeight="false" outlineLevel="0" collapsed="false">
      <c r="A21" s="31" t="s">
        <v>155</v>
      </c>
      <c r="B21" s="32" t="n">
        <v>45410</v>
      </c>
      <c r="C21" s="31" t="s">
        <v>156</v>
      </c>
      <c r="D21" s="31" t="s">
        <v>157</v>
      </c>
      <c r="E21" s="31" t="s">
        <v>80</v>
      </c>
      <c r="F21" s="31" t="s">
        <v>81</v>
      </c>
      <c r="G21" s="31" t="s">
        <v>82</v>
      </c>
      <c r="H21" s="31" t="n">
        <v>3</v>
      </c>
      <c r="I21" s="33" t="n">
        <v>249.99</v>
      </c>
      <c r="J21" s="31" t="s">
        <v>89</v>
      </c>
      <c r="K21" s="31" t="s">
        <v>103</v>
      </c>
      <c r="L21" s="31" t="s">
        <v>90</v>
      </c>
      <c r="M21" s="32" t="n">
        <v>45224</v>
      </c>
      <c r="N21" s="33" t="n">
        <f aca="false">H21*I21</f>
        <v>749.97</v>
      </c>
      <c r="O21" s="31" t="n">
        <f aca="true">DATEDIF(B21,TODAY(),"d")</f>
        <v>894</v>
      </c>
      <c r="P21" s="32" t="n">
        <f aca="false">EOMONTH(B21,0)</f>
        <v>45412</v>
      </c>
      <c r="Q21" s="31" t="str">
        <f aca="false">IF(K21=Filter!$B$2,COUNTIF(K$2:K21,Filter!$B$2),"")</f>
        <v/>
      </c>
    </row>
    <row r="22" customFormat="false" ht="15" hidden="false" customHeight="false" outlineLevel="0" collapsed="false">
      <c r="A22" s="31" t="s">
        <v>158</v>
      </c>
      <c r="B22" s="32" t="n">
        <v>45412</v>
      </c>
      <c r="C22" s="31" t="s">
        <v>159</v>
      </c>
      <c r="D22" s="31" t="s">
        <v>160</v>
      </c>
      <c r="E22" s="31" t="s">
        <v>143</v>
      </c>
      <c r="F22" s="31" t="s">
        <v>144</v>
      </c>
      <c r="G22" s="31" t="s">
        <v>82</v>
      </c>
      <c r="H22" s="31" t="n">
        <v>5</v>
      </c>
      <c r="I22" s="33" t="n">
        <v>699.99</v>
      </c>
      <c r="J22" s="31" t="s">
        <v>83</v>
      </c>
      <c r="K22" s="31" t="s">
        <v>113</v>
      </c>
      <c r="L22" s="31" t="s">
        <v>85</v>
      </c>
      <c r="M22" s="32" t="n">
        <v>45167</v>
      </c>
      <c r="N22" s="33" t="n">
        <f aca="false">H22*I22</f>
        <v>3499.95</v>
      </c>
      <c r="O22" s="31" t="n">
        <f aca="true">DATEDIF(B22,TODAY(),"d")</f>
        <v>892</v>
      </c>
      <c r="P22" s="32" t="n">
        <f aca="false">EOMONTH(B22,0)</f>
        <v>45412</v>
      </c>
      <c r="Q22" s="31" t="n">
        <f aca="false">IF(K22=Filter!$B$2,COUNTIF(K$2:K22,Filter!$B$2),"")</f>
        <v>6</v>
      </c>
    </row>
    <row r="23" customFormat="false" ht="15" hidden="false" customHeight="false" outlineLevel="0" collapsed="false">
      <c r="A23" s="31" t="s">
        <v>161</v>
      </c>
      <c r="B23" s="32" t="n">
        <v>45413</v>
      </c>
      <c r="C23" s="31" t="s">
        <v>162</v>
      </c>
      <c r="D23" s="31" t="s">
        <v>163</v>
      </c>
      <c r="E23" s="31" t="s">
        <v>143</v>
      </c>
      <c r="F23" s="31" t="s">
        <v>144</v>
      </c>
      <c r="G23" s="31" t="s">
        <v>82</v>
      </c>
      <c r="H23" s="31" t="n">
        <v>4</v>
      </c>
      <c r="I23" s="33" t="n">
        <v>699.99</v>
      </c>
      <c r="J23" s="31" t="s">
        <v>83</v>
      </c>
      <c r="K23" s="31" t="s">
        <v>126</v>
      </c>
      <c r="L23" s="31" t="s">
        <v>99</v>
      </c>
      <c r="M23" s="32" t="n">
        <v>44409</v>
      </c>
      <c r="N23" s="33" t="n">
        <f aca="false">H23*I23</f>
        <v>2799.96</v>
      </c>
      <c r="O23" s="31" t="n">
        <f aca="true">DATEDIF(B23,TODAY(),"d")</f>
        <v>891</v>
      </c>
      <c r="P23" s="32" t="n">
        <f aca="false">EOMONTH(B23,0)</f>
        <v>45443</v>
      </c>
      <c r="Q23" s="31" t="str">
        <f aca="false">IF(K23=Filter!$B$2,COUNTIF(K$2:K23,Filter!$B$2),"")</f>
        <v/>
      </c>
    </row>
    <row r="24" customFormat="false" ht="15" hidden="false" customHeight="false" outlineLevel="0" collapsed="false">
      <c r="A24" s="31" t="s">
        <v>164</v>
      </c>
      <c r="B24" s="32" t="n">
        <v>45415</v>
      </c>
      <c r="C24" s="31" t="s">
        <v>165</v>
      </c>
      <c r="D24" s="31" t="s">
        <v>166</v>
      </c>
      <c r="E24" s="31" t="s">
        <v>80</v>
      </c>
      <c r="F24" s="31" t="s">
        <v>81</v>
      </c>
      <c r="G24" s="31" t="s">
        <v>82</v>
      </c>
      <c r="H24" s="31" t="n">
        <v>4</v>
      </c>
      <c r="I24" s="33" t="n">
        <v>249.99</v>
      </c>
      <c r="J24" s="31" t="s">
        <v>97</v>
      </c>
      <c r="K24" s="31" t="s">
        <v>103</v>
      </c>
      <c r="L24" s="31" t="s">
        <v>99</v>
      </c>
      <c r="M24" s="32" t="n">
        <v>44468</v>
      </c>
      <c r="N24" s="33" t="n">
        <f aca="false">H24*I24</f>
        <v>999.96</v>
      </c>
      <c r="O24" s="31" t="n">
        <f aca="true">DATEDIF(B24,TODAY(),"d")</f>
        <v>889</v>
      </c>
      <c r="P24" s="32" t="n">
        <f aca="false">EOMONTH(B24,0)</f>
        <v>45443</v>
      </c>
      <c r="Q24" s="31" t="str">
        <f aca="false">IF(K24=Filter!$B$2,COUNTIF(K$2:K24,Filter!$B$2),"")</f>
        <v/>
      </c>
    </row>
    <row r="25" customFormat="false" ht="15" hidden="false" customHeight="false" outlineLevel="0" collapsed="false">
      <c r="A25" s="31" t="s">
        <v>167</v>
      </c>
      <c r="B25" s="32" t="n">
        <v>45416</v>
      </c>
      <c r="C25" s="31" t="s">
        <v>149</v>
      </c>
      <c r="D25" s="31" t="s">
        <v>150</v>
      </c>
      <c r="E25" s="31" t="s">
        <v>168</v>
      </c>
      <c r="F25" s="31" t="s">
        <v>169</v>
      </c>
      <c r="G25" s="31" t="s">
        <v>109</v>
      </c>
      <c r="H25" s="31" t="n">
        <v>4</v>
      </c>
      <c r="I25" s="33" t="n">
        <v>299.99</v>
      </c>
      <c r="J25" s="31" t="s">
        <v>83</v>
      </c>
      <c r="K25" s="31" t="s">
        <v>113</v>
      </c>
      <c r="L25" s="31" t="s">
        <v>90</v>
      </c>
      <c r="M25" s="32" t="n">
        <v>44716</v>
      </c>
      <c r="N25" s="33" t="n">
        <f aca="false">H25*I25</f>
        <v>1199.96</v>
      </c>
      <c r="O25" s="31" t="n">
        <f aca="true">DATEDIF(B25,TODAY(),"d")</f>
        <v>888</v>
      </c>
      <c r="P25" s="32" t="n">
        <f aca="false">EOMONTH(B25,0)</f>
        <v>45443</v>
      </c>
      <c r="Q25" s="31" t="n">
        <f aca="false">IF(K25=Filter!$B$2,COUNTIF(K$2:K25,Filter!$B$2),"")</f>
        <v>7</v>
      </c>
    </row>
    <row r="26" customFormat="false" ht="15" hidden="false" customHeight="false" outlineLevel="0" collapsed="false">
      <c r="A26" s="31" t="s">
        <v>170</v>
      </c>
      <c r="B26" s="32" t="n">
        <v>45422</v>
      </c>
      <c r="C26" s="31" t="s">
        <v>171</v>
      </c>
      <c r="D26" s="31" t="s">
        <v>172</v>
      </c>
      <c r="E26" s="31" t="s">
        <v>80</v>
      </c>
      <c r="F26" s="31" t="s">
        <v>81</v>
      </c>
      <c r="G26" s="31" t="s">
        <v>82</v>
      </c>
      <c r="H26" s="31" t="n">
        <v>5</v>
      </c>
      <c r="I26" s="33" t="n">
        <v>249.99</v>
      </c>
      <c r="J26" s="31" t="s">
        <v>89</v>
      </c>
      <c r="K26" s="31" t="s">
        <v>113</v>
      </c>
      <c r="L26" s="31" t="s">
        <v>99</v>
      </c>
      <c r="M26" s="32" t="n">
        <v>44525</v>
      </c>
      <c r="N26" s="33" t="n">
        <f aca="false">H26*I26</f>
        <v>1249.95</v>
      </c>
      <c r="O26" s="31" t="n">
        <f aca="true">DATEDIF(B26,TODAY(),"d")</f>
        <v>882</v>
      </c>
      <c r="P26" s="32" t="n">
        <f aca="false">EOMONTH(B26,0)</f>
        <v>45443</v>
      </c>
      <c r="Q26" s="31" t="n">
        <f aca="false">IF(K26=Filter!$B$2,COUNTIF(K$2:K26,Filter!$B$2),"")</f>
        <v>8</v>
      </c>
    </row>
    <row r="27" customFormat="false" ht="15" hidden="false" customHeight="false" outlineLevel="0" collapsed="false">
      <c r="A27" s="31" t="s">
        <v>173</v>
      </c>
      <c r="B27" s="32" t="n">
        <v>45424</v>
      </c>
      <c r="C27" s="31" t="s">
        <v>131</v>
      </c>
      <c r="D27" s="31" t="s">
        <v>132</v>
      </c>
      <c r="E27" s="31" t="s">
        <v>168</v>
      </c>
      <c r="F27" s="31" t="s">
        <v>169</v>
      </c>
      <c r="G27" s="31" t="s">
        <v>109</v>
      </c>
      <c r="H27" s="31" t="n">
        <v>5</v>
      </c>
      <c r="I27" s="33" t="n">
        <v>299.99</v>
      </c>
      <c r="J27" s="31" t="s">
        <v>97</v>
      </c>
      <c r="K27" s="31" t="s">
        <v>126</v>
      </c>
      <c r="L27" s="31" t="s">
        <v>85</v>
      </c>
      <c r="M27" s="32" t="n">
        <v>45168</v>
      </c>
      <c r="N27" s="33" t="n">
        <f aca="false">H27*I27</f>
        <v>1499.95</v>
      </c>
      <c r="O27" s="31" t="n">
        <f aca="true">DATEDIF(B27,TODAY(),"d")</f>
        <v>880</v>
      </c>
      <c r="P27" s="32" t="n">
        <f aca="false">EOMONTH(B27,0)</f>
        <v>45443</v>
      </c>
      <c r="Q27" s="31" t="str">
        <f aca="false">IF(K27=Filter!$B$2,COUNTIF(K$2:K27,Filter!$B$2),"")</f>
        <v/>
      </c>
    </row>
    <row r="28" customFormat="false" ht="15" hidden="false" customHeight="false" outlineLevel="0" collapsed="false">
      <c r="A28" s="31" t="s">
        <v>174</v>
      </c>
      <c r="B28" s="32" t="n">
        <v>45424</v>
      </c>
      <c r="C28" s="31" t="s">
        <v>175</v>
      </c>
      <c r="D28" s="31" t="s">
        <v>176</v>
      </c>
      <c r="E28" s="31" t="s">
        <v>177</v>
      </c>
      <c r="F28" s="31" t="s">
        <v>178</v>
      </c>
      <c r="G28" s="31" t="s">
        <v>96</v>
      </c>
      <c r="H28" s="31" t="n">
        <v>3</v>
      </c>
      <c r="I28" s="33" t="n">
        <v>79.99</v>
      </c>
      <c r="J28" s="31" t="s">
        <v>97</v>
      </c>
      <c r="K28" s="31" t="s">
        <v>126</v>
      </c>
      <c r="L28" s="31" t="s">
        <v>90</v>
      </c>
      <c r="M28" s="32" t="n">
        <v>45012</v>
      </c>
      <c r="N28" s="33" t="n">
        <f aca="false">H28*I28</f>
        <v>239.97</v>
      </c>
      <c r="O28" s="31" t="n">
        <f aca="true">DATEDIF(B28,TODAY(),"d")</f>
        <v>880</v>
      </c>
      <c r="P28" s="32" t="n">
        <f aca="false">EOMONTH(B28,0)</f>
        <v>45443</v>
      </c>
      <c r="Q28" s="31" t="str">
        <f aca="false">IF(K28=Filter!$B$2,COUNTIF(K$2:K28,Filter!$B$2),"")</f>
        <v/>
      </c>
    </row>
    <row r="29" customFormat="false" ht="15" hidden="false" customHeight="false" outlineLevel="0" collapsed="false">
      <c r="A29" s="31" t="s">
        <v>179</v>
      </c>
      <c r="B29" s="32" t="n">
        <v>45424</v>
      </c>
      <c r="C29" s="31" t="s">
        <v>162</v>
      </c>
      <c r="D29" s="31" t="s">
        <v>163</v>
      </c>
      <c r="E29" s="31" t="s">
        <v>180</v>
      </c>
      <c r="F29" s="31" t="s">
        <v>181</v>
      </c>
      <c r="G29" s="31" t="s">
        <v>82</v>
      </c>
      <c r="H29" s="31" t="n">
        <v>5</v>
      </c>
      <c r="I29" s="33" t="n">
        <v>89.99</v>
      </c>
      <c r="J29" s="31" t="s">
        <v>83</v>
      </c>
      <c r="K29" s="31" t="s">
        <v>103</v>
      </c>
      <c r="L29" s="31" t="s">
        <v>90</v>
      </c>
      <c r="M29" s="32" t="n">
        <v>44919</v>
      </c>
      <c r="N29" s="33" t="n">
        <f aca="false">H29*I29</f>
        <v>449.95</v>
      </c>
      <c r="O29" s="31" t="n">
        <f aca="true">DATEDIF(B29,TODAY(),"d")</f>
        <v>880</v>
      </c>
      <c r="P29" s="32" t="n">
        <f aca="false">EOMONTH(B29,0)</f>
        <v>45443</v>
      </c>
      <c r="Q29" s="31" t="str">
        <f aca="false">IF(K29=Filter!$B$2,COUNTIF(K$2:K29,Filter!$B$2),"")</f>
        <v/>
      </c>
    </row>
    <row r="30" customFormat="false" ht="15" hidden="false" customHeight="false" outlineLevel="0" collapsed="false">
      <c r="A30" s="31" t="s">
        <v>182</v>
      </c>
      <c r="B30" s="32" t="n">
        <v>45425</v>
      </c>
      <c r="C30" s="31" t="s">
        <v>183</v>
      </c>
      <c r="D30" s="31" t="s">
        <v>184</v>
      </c>
      <c r="E30" s="31" t="s">
        <v>94</v>
      </c>
      <c r="F30" s="31" t="s">
        <v>95</v>
      </c>
      <c r="G30" s="31" t="s">
        <v>96</v>
      </c>
      <c r="H30" s="31" t="n">
        <v>2</v>
      </c>
      <c r="I30" s="33" t="n">
        <v>59.99</v>
      </c>
      <c r="J30" s="31" t="s">
        <v>120</v>
      </c>
      <c r="K30" s="31" t="s">
        <v>84</v>
      </c>
      <c r="L30" s="31" t="s">
        <v>99</v>
      </c>
      <c r="M30" s="32" t="n">
        <v>45214</v>
      </c>
      <c r="N30" s="33" t="n">
        <f aca="false">H30*I30</f>
        <v>119.98</v>
      </c>
      <c r="O30" s="31" t="n">
        <f aca="true">DATEDIF(B30,TODAY(),"d")</f>
        <v>879</v>
      </c>
      <c r="P30" s="32" t="n">
        <f aca="false">EOMONTH(B30,0)</f>
        <v>45443</v>
      </c>
      <c r="Q30" s="31" t="str">
        <f aca="false">IF(K30=Filter!$B$2,COUNTIF(K$2:K30,Filter!$B$2),"")</f>
        <v/>
      </c>
    </row>
    <row r="31" customFormat="false" ht="15" hidden="false" customHeight="false" outlineLevel="0" collapsed="false">
      <c r="A31" s="31" t="s">
        <v>185</v>
      </c>
      <c r="B31" s="32" t="n">
        <v>45427</v>
      </c>
      <c r="C31" s="31" t="s">
        <v>186</v>
      </c>
      <c r="D31" s="31" t="s">
        <v>187</v>
      </c>
      <c r="E31" s="31" t="s">
        <v>94</v>
      </c>
      <c r="F31" s="31" t="s">
        <v>95</v>
      </c>
      <c r="G31" s="31" t="s">
        <v>96</v>
      </c>
      <c r="H31" s="31" t="n">
        <v>4</v>
      </c>
      <c r="I31" s="33" t="n">
        <v>59.99</v>
      </c>
      <c r="J31" s="31" t="s">
        <v>120</v>
      </c>
      <c r="K31" s="31" t="s">
        <v>126</v>
      </c>
      <c r="L31" s="31" t="s">
        <v>99</v>
      </c>
      <c r="M31" s="32" t="n">
        <v>44867</v>
      </c>
      <c r="N31" s="33" t="n">
        <f aca="false">H31*I31</f>
        <v>239.96</v>
      </c>
      <c r="O31" s="31" t="n">
        <f aca="true">DATEDIF(B31,TODAY(),"d")</f>
        <v>877</v>
      </c>
      <c r="P31" s="32" t="n">
        <f aca="false">EOMONTH(B31,0)</f>
        <v>45443</v>
      </c>
      <c r="Q31" s="31" t="str">
        <f aca="false">IF(K31=Filter!$B$2,COUNTIF(K$2:K31,Filter!$B$2),"")</f>
        <v/>
      </c>
    </row>
    <row r="32" customFormat="false" ht="15" hidden="false" customHeight="false" outlineLevel="0" collapsed="false">
      <c r="A32" s="31" t="s">
        <v>188</v>
      </c>
      <c r="B32" s="32" t="n">
        <v>45427</v>
      </c>
      <c r="C32" s="31" t="s">
        <v>118</v>
      </c>
      <c r="D32" s="31" t="s">
        <v>119</v>
      </c>
      <c r="E32" s="31" t="s">
        <v>189</v>
      </c>
      <c r="F32" s="31" t="s">
        <v>190</v>
      </c>
      <c r="G32" s="31" t="s">
        <v>109</v>
      </c>
      <c r="H32" s="31" t="n">
        <v>5</v>
      </c>
      <c r="I32" s="33" t="n">
        <v>199.99</v>
      </c>
      <c r="J32" s="31" t="s">
        <v>83</v>
      </c>
      <c r="K32" s="31" t="s">
        <v>98</v>
      </c>
      <c r="L32" s="31" t="s">
        <v>99</v>
      </c>
      <c r="M32" s="32" t="n">
        <v>44412</v>
      </c>
      <c r="N32" s="33" t="n">
        <f aca="false">H32*I32</f>
        <v>999.95</v>
      </c>
      <c r="O32" s="31" t="n">
        <f aca="true">DATEDIF(B32,TODAY(),"d")</f>
        <v>877</v>
      </c>
      <c r="P32" s="32" t="n">
        <f aca="false">EOMONTH(B32,0)</f>
        <v>45443</v>
      </c>
      <c r="Q32" s="31" t="str">
        <f aca="false">IF(K32=Filter!$B$2,COUNTIF(K$2:K32,Filter!$B$2),"")</f>
        <v/>
      </c>
    </row>
    <row r="33" customFormat="false" ht="15" hidden="false" customHeight="false" outlineLevel="0" collapsed="false">
      <c r="A33" s="31" t="s">
        <v>191</v>
      </c>
      <c r="B33" s="32" t="n">
        <v>45428</v>
      </c>
      <c r="C33" s="31" t="s">
        <v>192</v>
      </c>
      <c r="D33" s="31" t="s">
        <v>193</v>
      </c>
      <c r="E33" s="31" t="s">
        <v>107</v>
      </c>
      <c r="F33" s="31" t="s">
        <v>108</v>
      </c>
      <c r="G33" s="31" t="s">
        <v>109</v>
      </c>
      <c r="H33" s="31" t="n">
        <v>2</v>
      </c>
      <c r="I33" s="33" t="n">
        <v>149.99</v>
      </c>
      <c r="J33" s="31" t="s">
        <v>89</v>
      </c>
      <c r="K33" s="31" t="s">
        <v>113</v>
      </c>
      <c r="L33" s="31" t="s">
        <v>85</v>
      </c>
      <c r="M33" s="32" t="n">
        <v>44823</v>
      </c>
      <c r="N33" s="33" t="n">
        <f aca="false">H33*I33</f>
        <v>299.98</v>
      </c>
      <c r="O33" s="31" t="n">
        <f aca="true">DATEDIF(B33,TODAY(),"d")</f>
        <v>876</v>
      </c>
      <c r="P33" s="32" t="n">
        <f aca="false">EOMONTH(B33,0)</f>
        <v>45443</v>
      </c>
      <c r="Q33" s="31" t="n">
        <f aca="false">IF(K33=Filter!$B$2,COUNTIF(K$2:K33,Filter!$B$2),"")</f>
        <v>9</v>
      </c>
    </row>
    <row r="34" customFormat="false" ht="15" hidden="false" customHeight="false" outlineLevel="0" collapsed="false">
      <c r="A34" s="31" t="s">
        <v>194</v>
      </c>
      <c r="B34" s="32" t="n">
        <v>45430</v>
      </c>
      <c r="C34" s="31" t="s">
        <v>195</v>
      </c>
      <c r="D34" s="31" t="s">
        <v>196</v>
      </c>
      <c r="E34" s="31" t="s">
        <v>107</v>
      </c>
      <c r="F34" s="31" t="s">
        <v>108</v>
      </c>
      <c r="G34" s="31" t="s">
        <v>109</v>
      </c>
      <c r="H34" s="31" t="n">
        <v>3</v>
      </c>
      <c r="I34" s="33" t="n">
        <v>149.99</v>
      </c>
      <c r="J34" s="31" t="s">
        <v>89</v>
      </c>
      <c r="K34" s="31" t="s">
        <v>113</v>
      </c>
      <c r="L34" s="31" t="s">
        <v>90</v>
      </c>
      <c r="M34" s="32" t="n">
        <v>45068</v>
      </c>
      <c r="N34" s="33" t="n">
        <f aca="false">H34*I34</f>
        <v>449.97</v>
      </c>
      <c r="O34" s="31" t="n">
        <f aca="true">DATEDIF(B34,TODAY(),"d")</f>
        <v>874</v>
      </c>
      <c r="P34" s="32" t="n">
        <f aca="false">EOMONTH(B34,0)</f>
        <v>45443</v>
      </c>
      <c r="Q34" s="31" t="n">
        <f aca="false">IF(K34=Filter!$B$2,COUNTIF(K$2:K34,Filter!$B$2),"")</f>
        <v>10</v>
      </c>
    </row>
    <row r="35" customFormat="false" ht="15" hidden="false" customHeight="false" outlineLevel="0" collapsed="false">
      <c r="A35" s="31" t="s">
        <v>197</v>
      </c>
      <c r="B35" s="32" t="n">
        <v>45432</v>
      </c>
      <c r="C35" s="31" t="s">
        <v>92</v>
      </c>
      <c r="D35" s="31" t="s">
        <v>93</v>
      </c>
      <c r="E35" s="31" t="s">
        <v>124</v>
      </c>
      <c r="F35" s="31" t="s">
        <v>125</v>
      </c>
      <c r="G35" s="31" t="s">
        <v>82</v>
      </c>
      <c r="H35" s="31" t="n">
        <v>1</v>
      </c>
      <c r="I35" s="33" t="n">
        <v>899.99</v>
      </c>
      <c r="J35" s="31" t="s">
        <v>89</v>
      </c>
      <c r="K35" s="31" t="s">
        <v>113</v>
      </c>
      <c r="L35" s="31" t="s">
        <v>90</v>
      </c>
      <c r="M35" s="32" t="n">
        <v>44578</v>
      </c>
      <c r="N35" s="33" t="n">
        <f aca="false">H35*I35</f>
        <v>899.99</v>
      </c>
      <c r="O35" s="31" t="n">
        <f aca="true">DATEDIF(B35,TODAY(),"d")</f>
        <v>872</v>
      </c>
      <c r="P35" s="32" t="n">
        <f aca="false">EOMONTH(B35,0)</f>
        <v>45443</v>
      </c>
      <c r="Q35" s="31" t="n">
        <f aca="false">IF(K35=Filter!$B$2,COUNTIF(K$2:K35,Filter!$B$2),"")</f>
        <v>11</v>
      </c>
    </row>
    <row r="36" customFormat="false" ht="15" hidden="false" customHeight="false" outlineLevel="0" collapsed="false">
      <c r="A36" s="31" t="s">
        <v>198</v>
      </c>
      <c r="B36" s="32" t="n">
        <v>45434</v>
      </c>
      <c r="C36" s="31" t="s">
        <v>162</v>
      </c>
      <c r="D36" s="31" t="s">
        <v>163</v>
      </c>
      <c r="E36" s="31" t="s">
        <v>168</v>
      </c>
      <c r="F36" s="31" t="s">
        <v>169</v>
      </c>
      <c r="G36" s="31" t="s">
        <v>109</v>
      </c>
      <c r="H36" s="31" t="n">
        <v>3</v>
      </c>
      <c r="I36" s="33" t="n">
        <v>299.99</v>
      </c>
      <c r="J36" s="31" t="s">
        <v>89</v>
      </c>
      <c r="K36" s="31" t="s">
        <v>126</v>
      </c>
      <c r="L36" s="31" t="s">
        <v>85</v>
      </c>
      <c r="M36" s="32" t="n">
        <v>44824</v>
      </c>
      <c r="N36" s="33" t="n">
        <f aca="false">H36*I36</f>
        <v>899.97</v>
      </c>
      <c r="O36" s="31" t="n">
        <f aca="true">DATEDIF(B36,TODAY(),"d")</f>
        <v>870</v>
      </c>
      <c r="P36" s="32" t="n">
        <f aca="false">EOMONTH(B36,0)</f>
        <v>45443</v>
      </c>
      <c r="Q36" s="31" t="str">
        <f aca="false">IF(K36=Filter!$B$2,COUNTIF(K$2:K36,Filter!$B$2),"")</f>
        <v/>
      </c>
    </row>
    <row r="37" customFormat="false" ht="15" hidden="false" customHeight="false" outlineLevel="0" collapsed="false">
      <c r="A37" s="31" t="s">
        <v>199</v>
      </c>
      <c r="B37" s="32" t="n">
        <v>45435</v>
      </c>
      <c r="C37" s="31" t="s">
        <v>192</v>
      </c>
      <c r="D37" s="31" t="s">
        <v>193</v>
      </c>
      <c r="E37" s="31" t="s">
        <v>177</v>
      </c>
      <c r="F37" s="31" t="s">
        <v>178</v>
      </c>
      <c r="G37" s="31" t="s">
        <v>96</v>
      </c>
      <c r="H37" s="31" t="n">
        <v>3</v>
      </c>
      <c r="I37" s="33" t="n">
        <v>79.99</v>
      </c>
      <c r="J37" s="31" t="s">
        <v>83</v>
      </c>
      <c r="K37" s="31" t="s">
        <v>98</v>
      </c>
      <c r="L37" s="31" t="s">
        <v>85</v>
      </c>
      <c r="M37" s="32" t="n">
        <v>45046</v>
      </c>
      <c r="N37" s="33" t="n">
        <f aca="false">H37*I37</f>
        <v>239.97</v>
      </c>
      <c r="O37" s="31" t="n">
        <f aca="true">DATEDIF(B37,TODAY(),"d")</f>
        <v>869</v>
      </c>
      <c r="P37" s="32" t="n">
        <f aca="false">EOMONTH(B37,0)</f>
        <v>45443</v>
      </c>
      <c r="Q37" s="31" t="str">
        <f aca="false">IF(K37=Filter!$B$2,COUNTIF(K$2:K37,Filter!$B$2),"")</f>
        <v/>
      </c>
    </row>
    <row r="38" customFormat="false" ht="15" hidden="false" customHeight="false" outlineLevel="0" collapsed="false">
      <c r="A38" s="31" t="s">
        <v>200</v>
      </c>
      <c r="B38" s="32" t="n">
        <v>45438</v>
      </c>
      <c r="C38" s="31" t="s">
        <v>201</v>
      </c>
      <c r="D38" s="31" t="s">
        <v>202</v>
      </c>
      <c r="E38" s="31" t="s">
        <v>189</v>
      </c>
      <c r="F38" s="31" t="s">
        <v>190</v>
      </c>
      <c r="G38" s="31" t="s">
        <v>109</v>
      </c>
      <c r="H38" s="31" t="n">
        <v>3</v>
      </c>
      <c r="I38" s="33" t="n">
        <v>199.99</v>
      </c>
      <c r="J38" s="31" t="s">
        <v>89</v>
      </c>
      <c r="K38" s="31" t="s">
        <v>103</v>
      </c>
      <c r="L38" s="31" t="s">
        <v>90</v>
      </c>
      <c r="M38" s="32" t="n">
        <v>45292</v>
      </c>
      <c r="N38" s="33" t="n">
        <f aca="false">H38*I38</f>
        <v>599.97</v>
      </c>
      <c r="O38" s="31" t="n">
        <f aca="true">DATEDIF(B38,TODAY(),"d")</f>
        <v>866</v>
      </c>
      <c r="P38" s="32" t="n">
        <f aca="false">EOMONTH(B38,0)</f>
        <v>45443</v>
      </c>
      <c r="Q38" s="31" t="str">
        <f aca="false">IF(K38=Filter!$B$2,COUNTIF(K$2:K38,Filter!$B$2),"")</f>
        <v/>
      </c>
    </row>
    <row r="39" customFormat="false" ht="15" hidden="false" customHeight="false" outlineLevel="0" collapsed="false">
      <c r="A39" s="31" t="s">
        <v>203</v>
      </c>
      <c r="B39" s="32" t="n">
        <v>45440</v>
      </c>
      <c r="C39" s="31" t="s">
        <v>204</v>
      </c>
      <c r="D39" s="31" t="s">
        <v>205</v>
      </c>
      <c r="E39" s="31" t="s">
        <v>143</v>
      </c>
      <c r="F39" s="31" t="s">
        <v>144</v>
      </c>
      <c r="G39" s="31" t="s">
        <v>82</v>
      </c>
      <c r="H39" s="31" t="n">
        <v>5</v>
      </c>
      <c r="I39" s="33" t="n">
        <v>699.99</v>
      </c>
      <c r="J39" s="31" t="s">
        <v>97</v>
      </c>
      <c r="K39" s="31" t="s">
        <v>113</v>
      </c>
      <c r="L39" s="31" t="s">
        <v>99</v>
      </c>
      <c r="M39" s="32" t="n">
        <v>44407</v>
      </c>
      <c r="N39" s="33" t="n">
        <f aca="false">H39*I39</f>
        <v>3499.95</v>
      </c>
      <c r="O39" s="31" t="n">
        <f aca="true">DATEDIF(B39,TODAY(),"d")</f>
        <v>864</v>
      </c>
      <c r="P39" s="32" t="n">
        <f aca="false">EOMONTH(B39,0)</f>
        <v>45443</v>
      </c>
      <c r="Q39" s="31" t="n">
        <f aca="false">IF(K39=Filter!$B$2,COUNTIF(K$2:K39,Filter!$B$2),"")</f>
        <v>12</v>
      </c>
    </row>
    <row r="40" customFormat="false" ht="15" hidden="false" customHeight="false" outlineLevel="0" collapsed="false">
      <c r="A40" s="31" t="s">
        <v>206</v>
      </c>
      <c r="B40" s="32" t="n">
        <v>45441</v>
      </c>
      <c r="C40" s="31" t="s">
        <v>207</v>
      </c>
      <c r="D40" s="31" t="s">
        <v>208</v>
      </c>
      <c r="E40" s="31" t="s">
        <v>180</v>
      </c>
      <c r="F40" s="31" t="s">
        <v>181</v>
      </c>
      <c r="G40" s="31" t="s">
        <v>82</v>
      </c>
      <c r="H40" s="31" t="n">
        <v>3</v>
      </c>
      <c r="I40" s="33" t="n">
        <v>89.99</v>
      </c>
      <c r="J40" s="31" t="s">
        <v>97</v>
      </c>
      <c r="K40" s="31" t="s">
        <v>84</v>
      </c>
      <c r="L40" s="31" t="s">
        <v>90</v>
      </c>
      <c r="M40" s="32" t="n">
        <v>45120</v>
      </c>
      <c r="N40" s="33" t="n">
        <f aca="false">H40*I40</f>
        <v>269.97</v>
      </c>
      <c r="O40" s="31" t="n">
        <f aca="true">DATEDIF(B40,TODAY(),"d")</f>
        <v>863</v>
      </c>
      <c r="P40" s="32" t="n">
        <f aca="false">EOMONTH(B40,0)</f>
        <v>45443</v>
      </c>
      <c r="Q40" s="31" t="str">
        <f aca="false">IF(K40=Filter!$B$2,COUNTIF(K$2:K40,Filter!$B$2),"")</f>
        <v/>
      </c>
    </row>
    <row r="41" customFormat="false" ht="15" hidden="false" customHeight="false" outlineLevel="0" collapsed="false">
      <c r="A41" s="31" t="s">
        <v>209</v>
      </c>
      <c r="B41" s="32" t="n">
        <v>45443</v>
      </c>
      <c r="C41" s="31" t="s">
        <v>210</v>
      </c>
      <c r="D41" s="31" t="s">
        <v>211</v>
      </c>
      <c r="E41" s="31" t="s">
        <v>177</v>
      </c>
      <c r="F41" s="31" t="s">
        <v>178</v>
      </c>
      <c r="G41" s="31" t="s">
        <v>96</v>
      </c>
      <c r="H41" s="31" t="n">
        <v>1</v>
      </c>
      <c r="I41" s="33" t="n">
        <v>79.99</v>
      </c>
      <c r="J41" s="31" t="s">
        <v>83</v>
      </c>
      <c r="K41" s="31" t="s">
        <v>103</v>
      </c>
      <c r="L41" s="31" t="s">
        <v>99</v>
      </c>
      <c r="M41" s="32" t="n">
        <v>44917</v>
      </c>
      <c r="N41" s="33" t="n">
        <f aca="false">H41*I41</f>
        <v>79.99</v>
      </c>
      <c r="O41" s="31" t="n">
        <f aca="true">DATEDIF(B41,TODAY(),"d")</f>
        <v>861</v>
      </c>
      <c r="P41" s="32" t="n">
        <f aca="false">EOMONTH(B41,0)</f>
        <v>45443</v>
      </c>
      <c r="Q41" s="31" t="str">
        <f aca="false">IF(K41=Filter!$B$2,COUNTIF(K$2:K41,Filter!$B$2),"")</f>
        <v/>
      </c>
    </row>
    <row r="42" customFormat="false" ht="15" hidden="false" customHeight="false" outlineLevel="0" collapsed="false">
      <c r="A42" s="31" t="s">
        <v>212</v>
      </c>
      <c r="B42" s="32" t="n">
        <v>45444</v>
      </c>
      <c r="C42" s="31" t="s">
        <v>213</v>
      </c>
      <c r="D42" s="31" t="s">
        <v>214</v>
      </c>
      <c r="E42" s="31" t="s">
        <v>94</v>
      </c>
      <c r="F42" s="31" t="s">
        <v>95</v>
      </c>
      <c r="G42" s="31" t="s">
        <v>96</v>
      </c>
      <c r="H42" s="31" t="n">
        <v>2</v>
      </c>
      <c r="I42" s="33" t="n">
        <v>59.99</v>
      </c>
      <c r="J42" s="31" t="s">
        <v>83</v>
      </c>
      <c r="K42" s="31" t="s">
        <v>113</v>
      </c>
      <c r="L42" s="31" t="s">
        <v>85</v>
      </c>
      <c r="M42" s="32" t="n">
        <v>45390</v>
      </c>
      <c r="N42" s="33" t="n">
        <f aca="false">H42*I42</f>
        <v>119.98</v>
      </c>
      <c r="O42" s="31" t="n">
        <f aca="true">DATEDIF(B42,TODAY(),"d")</f>
        <v>860</v>
      </c>
      <c r="P42" s="32" t="n">
        <f aca="false">EOMONTH(B42,0)</f>
        <v>45473</v>
      </c>
      <c r="Q42" s="31" t="n">
        <f aca="false">IF(K42=Filter!$B$2,COUNTIF(K$2:K42,Filter!$B$2),"")</f>
        <v>13</v>
      </c>
    </row>
    <row r="43" customFormat="false" ht="15" hidden="false" customHeight="false" outlineLevel="0" collapsed="false">
      <c r="A43" s="31" t="s">
        <v>215</v>
      </c>
      <c r="B43" s="32" t="n">
        <v>45444</v>
      </c>
      <c r="C43" s="31" t="s">
        <v>118</v>
      </c>
      <c r="D43" s="31" t="s">
        <v>119</v>
      </c>
      <c r="E43" s="31" t="s">
        <v>180</v>
      </c>
      <c r="F43" s="31" t="s">
        <v>181</v>
      </c>
      <c r="G43" s="31" t="s">
        <v>82</v>
      </c>
      <c r="H43" s="31" t="n">
        <v>1</v>
      </c>
      <c r="I43" s="33" t="n">
        <v>89.99</v>
      </c>
      <c r="J43" s="31" t="s">
        <v>83</v>
      </c>
      <c r="K43" s="31" t="s">
        <v>103</v>
      </c>
      <c r="L43" s="31" t="s">
        <v>85</v>
      </c>
      <c r="M43" s="32" t="n">
        <v>45141</v>
      </c>
      <c r="N43" s="33" t="n">
        <f aca="false">H43*I43</f>
        <v>89.99</v>
      </c>
      <c r="O43" s="31" t="n">
        <f aca="true">DATEDIF(B43,TODAY(),"d")</f>
        <v>860</v>
      </c>
      <c r="P43" s="32" t="n">
        <f aca="false">EOMONTH(B43,0)</f>
        <v>45473</v>
      </c>
      <c r="Q43" s="31" t="str">
        <f aca="false">IF(K43=Filter!$B$2,COUNTIF(K$2:K43,Filter!$B$2),"")</f>
        <v/>
      </c>
    </row>
    <row r="44" customFormat="false" ht="15" hidden="false" customHeight="false" outlineLevel="0" collapsed="false">
      <c r="A44" s="31" t="s">
        <v>216</v>
      </c>
      <c r="B44" s="32" t="n">
        <v>45446</v>
      </c>
      <c r="C44" s="31" t="s">
        <v>217</v>
      </c>
      <c r="D44" s="31" t="s">
        <v>218</v>
      </c>
      <c r="E44" s="31" t="s">
        <v>180</v>
      </c>
      <c r="F44" s="31" t="s">
        <v>181</v>
      </c>
      <c r="G44" s="31" t="s">
        <v>82</v>
      </c>
      <c r="H44" s="31" t="n">
        <v>5</v>
      </c>
      <c r="I44" s="33" t="n">
        <v>89.99</v>
      </c>
      <c r="J44" s="31" t="s">
        <v>89</v>
      </c>
      <c r="K44" s="31" t="s">
        <v>126</v>
      </c>
      <c r="L44" s="31" t="s">
        <v>99</v>
      </c>
      <c r="M44" s="32" t="n">
        <v>44587</v>
      </c>
      <c r="N44" s="33" t="n">
        <f aca="false">H44*I44</f>
        <v>449.95</v>
      </c>
      <c r="O44" s="31" t="n">
        <f aca="true">DATEDIF(B44,TODAY(),"d")</f>
        <v>858</v>
      </c>
      <c r="P44" s="32" t="n">
        <f aca="false">EOMONTH(B44,0)</f>
        <v>45473</v>
      </c>
      <c r="Q44" s="31" t="str">
        <f aca="false">IF(K44=Filter!$B$2,COUNTIF(K$2:K44,Filter!$B$2),"")</f>
        <v/>
      </c>
    </row>
    <row r="45" customFormat="false" ht="15" hidden="false" customHeight="false" outlineLevel="0" collapsed="false">
      <c r="A45" s="31" t="s">
        <v>219</v>
      </c>
      <c r="B45" s="32" t="n">
        <v>45449</v>
      </c>
      <c r="C45" s="31" t="s">
        <v>87</v>
      </c>
      <c r="D45" s="31" t="s">
        <v>88</v>
      </c>
      <c r="E45" s="31" t="s">
        <v>80</v>
      </c>
      <c r="F45" s="31" t="s">
        <v>81</v>
      </c>
      <c r="G45" s="31" t="s">
        <v>82</v>
      </c>
      <c r="H45" s="31" t="n">
        <v>5</v>
      </c>
      <c r="I45" s="33" t="n">
        <v>249.99</v>
      </c>
      <c r="J45" s="31" t="s">
        <v>89</v>
      </c>
      <c r="K45" s="31" t="s">
        <v>126</v>
      </c>
      <c r="L45" s="31" t="s">
        <v>99</v>
      </c>
      <c r="M45" s="32" t="n">
        <v>44707</v>
      </c>
      <c r="N45" s="33" t="n">
        <f aca="false">H45*I45</f>
        <v>1249.95</v>
      </c>
      <c r="O45" s="31" t="n">
        <f aca="true">DATEDIF(B45,TODAY(),"d")</f>
        <v>855</v>
      </c>
      <c r="P45" s="32" t="n">
        <f aca="false">EOMONTH(B45,0)</f>
        <v>45473</v>
      </c>
      <c r="Q45" s="31" t="str">
        <f aca="false">IF(K45=Filter!$B$2,COUNTIF(K$2:K45,Filter!$B$2),"")</f>
        <v/>
      </c>
    </row>
    <row r="46" customFormat="false" ht="15" hidden="false" customHeight="false" outlineLevel="0" collapsed="false">
      <c r="A46" s="31" t="s">
        <v>220</v>
      </c>
      <c r="B46" s="32" t="n">
        <v>45449</v>
      </c>
      <c r="C46" s="31" t="s">
        <v>221</v>
      </c>
      <c r="D46" s="31" t="s">
        <v>222</v>
      </c>
      <c r="E46" s="31" t="s">
        <v>180</v>
      </c>
      <c r="F46" s="31" t="s">
        <v>181</v>
      </c>
      <c r="G46" s="31" t="s">
        <v>82</v>
      </c>
      <c r="H46" s="31" t="n">
        <v>1</v>
      </c>
      <c r="I46" s="33" t="n">
        <v>89.99</v>
      </c>
      <c r="J46" s="31" t="s">
        <v>89</v>
      </c>
      <c r="K46" s="31" t="s">
        <v>98</v>
      </c>
      <c r="L46" s="31" t="s">
        <v>99</v>
      </c>
      <c r="M46" s="32" t="n">
        <v>44582</v>
      </c>
      <c r="N46" s="33" t="n">
        <f aca="false">H46*I46</f>
        <v>89.99</v>
      </c>
      <c r="O46" s="31" t="n">
        <f aca="true">DATEDIF(B46,TODAY(),"d")</f>
        <v>855</v>
      </c>
      <c r="P46" s="32" t="n">
        <f aca="false">EOMONTH(B46,0)</f>
        <v>45473</v>
      </c>
      <c r="Q46" s="31" t="str">
        <f aca="false">IF(K46=Filter!$B$2,COUNTIF(K$2:K46,Filter!$B$2),"")</f>
        <v/>
      </c>
    </row>
    <row r="47" customFormat="false" ht="15" hidden="false" customHeight="false" outlineLevel="0" collapsed="false">
      <c r="A47" s="31" t="s">
        <v>223</v>
      </c>
      <c r="B47" s="32" t="n">
        <v>45450</v>
      </c>
      <c r="C47" s="31" t="s">
        <v>105</v>
      </c>
      <c r="D47" s="31" t="s">
        <v>106</v>
      </c>
      <c r="E47" s="31" t="s">
        <v>107</v>
      </c>
      <c r="F47" s="31" t="s">
        <v>108</v>
      </c>
      <c r="G47" s="31" t="s">
        <v>109</v>
      </c>
      <c r="H47" s="31" t="n">
        <v>2</v>
      </c>
      <c r="I47" s="33" t="n">
        <v>149.99</v>
      </c>
      <c r="J47" s="31" t="s">
        <v>83</v>
      </c>
      <c r="K47" s="31" t="s">
        <v>126</v>
      </c>
      <c r="L47" s="31" t="s">
        <v>90</v>
      </c>
      <c r="M47" s="32" t="n">
        <v>44645</v>
      </c>
      <c r="N47" s="33" t="n">
        <f aca="false">H47*I47</f>
        <v>299.98</v>
      </c>
      <c r="O47" s="31" t="n">
        <f aca="true">DATEDIF(B47,TODAY(),"d")</f>
        <v>854</v>
      </c>
      <c r="P47" s="32" t="n">
        <f aca="false">EOMONTH(B47,0)</f>
        <v>45473</v>
      </c>
      <c r="Q47" s="31" t="str">
        <f aca="false">IF(K47=Filter!$B$2,COUNTIF(K$2:K47,Filter!$B$2),"")</f>
        <v/>
      </c>
    </row>
    <row r="48" customFormat="false" ht="15" hidden="false" customHeight="false" outlineLevel="0" collapsed="false">
      <c r="A48" s="31" t="s">
        <v>224</v>
      </c>
      <c r="B48" s="32" t="n">
        <v>45452</v>
      </c>
      <c r="C48" s="31" t="s">
        <v>225</v>
      </c>
      <c r="D48" s="31" t="s">
        <v>226</v>
      </c>
      <c r="E48" s="31" t="s">
        <v>94</v>
      </c>
      <c r="F48" s="31" t="s">
        <v>95</v>
      </c>
      <c r="G48" s="31" t="s">
        <v>96</v>
      </c>
      <c r="H48" s="31" t="n">
        <v>4</v>
      </c>
      <c r="I48" s="33" t="n">
        <v>59.99</v>
      </c>
      <c r="J48" s="31" t="s">
        <v>83</v>
      </c>
      <c r="K48" s="31" t="s">
        <v>126</v>
      </c>
      <c r="L48" s="31" t="s">
        <v>99</v>
      </c>
      <c r="M48" s="32" t="n">
        <v>44435</v>
      </c>
      <c r="N48" s="33" t="n">
        <f aca="false">H48*I48</f>
        <v>239.96</v>
      </c>
      <c r="O48" s="31" t="n">
        <f aca="true">DATEDIF(B48,TODAY(),"d")</f>
        <v>852</v>
      </c>
      <c r="P48" s="32" t="n">
        <f aca="false">EOMONTH(B48,0)</f>
        <v>45473</v>
      </c>
      <c r="Q48" s="31" t="str">
        <f aca="false">IF(K48=Filter!$B$2,COUNTIF(K$2:K48,Filter!$B$2),"")</f>
        <v/>
      </c>
    </row>
    <row r="49" customFormat="false" ht="15" hidden="false" customHeight="false" outlineLevel="0" collapsed="false">
      <c r="A49" s="31" t="s">
        <v>227</v>
      </c>
      <c r="B49" s="32" t="n">
        <v>45456</v>
      </c>
      <c r="C49" s="31" t="s">
        <v>192</v>
      </c>
      <c r="D49" s="31" t="s">
        <v>193</v>
      </c>
      <c r="E49" s="31" t="s">
        <v>180</v>
      </c>
      <c r="F49" s="31" t="s">
        <v>181</v>
      </c>
      <c r="G49" s="31" t="s">
        <v>82</v>
      </c>
      <c r="H49" s="31" t="n">
        <v>5</v>
      </c>
      <c r="I49" s="33" t="n">
        <v>89.99</v>
      </c>
      <c r="J49" s="31" t="s">
        <v>83</v>
      </c>
      <c r="K49" s="31" t="s">
        <v>84</v>
      </c>
      <c r="L49" s="31" t="s">
        <v>90</v>
      </c>
      <c r="M49" s="32" t="n">
        <v>44579</v>
      </c>
      <c r="N49" s="33" t="n">
        <f aca="false">H49*I49</f>
        <v>449.95</v>
      </c>
      <c r="O49" s="31" t="n">
        <f aca="true">DATEDIF(B49,TODAY(),"d")</f>
        <v>848</v>
      </c>
      <c r="P49" s="32" t="n">
        <f aca="false">EOMONTH(B49,0)</f>
        <v>45473</v>
      </c>
      <c r="Q49" s="31" t="str">
        <f aca="false">IF(K49=Filter!$B$2,COUNTIF(K$2:K49,Filter!$B$2),"")</f>
        <v/>
      </c>
    </row>
    <row r="50" customFormat="false" ht="15" hidden="false" customHeight="false" outlineLevel="0" collapsed="false">
      <c r="A50" s="31" t="s">
        <v>228</v>
      </c>
      <c r="B50" s="32" t="n">
        <v>45459</v>
      </c>
      <c r="C50" s="31" t="s">
        <v>162</v>
      </c>
      <c r="D50" s="31" t="s">
        <v>163</v>
      </c>
      <c r="E50" s="31" t="s">
        <v>180</v>
      </c>
      <c r="F50" s="31" t="s">
        <v>181</v>
      </c>
      <c r="G50" s="31" t="s">
        <v>82</v>
      </c>
      <c r="H50" s="31" t="n">
        <v>2</v>
      </c>
      <c r="I50" s="33" t="n">
        <v>89.99</v>
      </c>
      <c r="J50" s="31" t="s">
        <v>89</v>
      </c>
      <c r="K50" s="31" t="s">
        <v>98</v>
      </c>
      <c r="L50" s="31" t="s">
        <v>90</v>
      </c>
      <c r="M50" s="32" t="n">
        <v>44471</v>
      </c>
      <c r="N50" s="33" t="n">
        <f aca="false">H50*I50</f>
        <v>179.98</v>
      </c>
      <c r="O50" s="31" t="n">
        <f aca="true">DATEDIF(B50,TODAY(),"d")</f>
        <v>845</v>
      </c>
      <c r="P50" s="32" t="n">
        <f aca="false">EOMONTH(B50,0)</f>
        <v>45473</v>
      </c>
      <c r="Q50" s="31" t="str">
        <f aca="false">IF(K50=Filter!$B$2,COUNTIF(K$2:K50,Filter!$B$2),"")</f>
        <v/>
      </c>
    </row>
    <row r="51" customFormat="false" ht="15" hidden="false" customHeight="false" outlineLevel="0" collapsed="false">
      <c r="A51" s="31" t="s">
        <v>229</v>
      </c>
      <c r="B51" s="32" t="n">
        <v>45459</v>
      </c>
      <c r="C51" s="31" t="s">
        <v>78</v>
      </c>
      <c r="D51" s="31" t="s">
        <v>79</v>
      </c>
      <c r="E51" s="31" t="s">
        <v>124</v>
      </c>
      <c r="F51" s="31" t="s">
        <v>125</v>
      </c>
      <c r="G51" s="31" t="s">
        <v>82</v>
      </c>
      <c r="H51" s="31" t="n">
        <v>5</v>
      </c>
      <c r="I51" s="33" t="n">
        <v>899.99</v>
      </c>
      <c r="J51" s="31" t="s">
        <v>89</v>
      </c>
      <c r="K51" s="31" t="s">
        <v>98</v>
      </c>
      <c r="L51" s="31" t="s">
        <v>99</v>
      </c>
      <c r="M51" s="32" t="n">
        <v>44974</v>
      </c>
      <c r="N51" s="33" t="n">
        <f aca="false">H51*I51</f>
        <v>4499.95</v>
      </c>
      <c r="O51" s="31" t="n">
        <f aca="true">DATEDIF(B51,TODAY(),"d")</f>
        <v>845</v>
      </c>
      <c r="P51" s="32" t="n">
        <f aca="false">EOMONTH(B51,0)</f>
        <v>45473</v>
      </c>
      <c r="Q51" s="31" t="str">
        <f aca="false">IF(K51=Filter!$B$2,COUNTIF(K$2:K51,Filter!$B$2),"")</f>
        <v/>
      </c>
    </row>
    <row r="52" customFormat="false" ht="15" hidden="false" customHeight="false" outlineLevel="0" collapsed="false">
      <c r="A52" s="31" t="s">
        <v>230</v>
      </c>
      <c r="B52" s="32" t="n">
        <v>45459</v>
      </c>
      <c r="C52" s="31" t="s">
        <v>186</v>
      </c>
      <c r="D52" s="31" t="s">
        <v>187</v>
      </c>
      <c r="E52" s="31" t="s">
        <v>124</v>
      </c>
      <c r="F52" s="31" t="s">
        <v>125</v>
      </c>
      <c r="G52" s="31" t="s">
        <v>82</v>
      </c>
      <c r="H52" s="31" t="n">
        <v>5</v>
      </c>
      <c r="I52" s="33" t="n">
        <v>899.99</v>
      </c>
      <c r="J52" s="31" t="s">
        <v>97</v>
      </c>
      <c r="K52" s="31" t="s">
        <v>126</v>
      </c>
      <c r="L52" s="31" t="s">
        <v>90</v>
      </c>
      <c r="M52" s="32" t="n">
        <v>45278</v>
      </c>
      <c r="N52" s="33" t="n">
        <f aca="false">H52*I52</f>
        <v>4499.95</v>
      </c>
      <c r="O52" s="31" t="n">
        <f aca="true">DATEDIF(B52,TODAY(),"d")</f>
        <v>845</v>
      </c>
      <c r="P52" s="32" t="n">
        <f aca="false">EOMONTH(B52,0)</f>
        <v>45473</v>
      </c>
      <c r="Q52" s="31" t="str">
        <f aca="false">IF(K52=Filter!$B$2,COUNTIF(K$2:K52,Filter!$B$2),"")</f>
        <v/>
      </c>
    </row>
    <row r="53" customFormat="false" ht="15" hidden="false" customHeight="false" outlineLevel="0" collapsed="false">
      <c r="A53" s="31" t="s">
        <v>231</v>
      </c>
      <c r="B53" s="32" t="n">
        <v>45460</v>
      </c>
      <c r="C53" s="31" t="s">
        <v>221</v>
      </c>
      <c r="D53" s="31" t="s">
        <v>222</v>
      </c>
      <c r="E53" s="31" t="s">
        <v>94</v>
      </c>
      <c r="F53" s="31" t="s">
        <v>95</v>
      </c>
      <c r="G53" s="31" t="s">
        <v>96</v>
      </c>
      <c r="H53" s="31" t="n">
        <v>1</v>
      </c>
      <c r="I53" s="33" t="n">
        <v>59.99</v>
      </c>
      <c r="J53" s="31" t="s">
        <v>120</v>
      </c>
      <c r="K53" s="31" t="s">
        <v>113</v>
      </c>
      <c r="L53" s="31" t="s">
        <v>90</v>
      </c>
      <c r="M53" s="32" t="n">
        <v>45190</v>
      </c>
      <c r="N53" s="33" t="n">
        <f aca="false">H53*I53</f>
        <v>59.99</v>
      </c>
      <c r="O53" s="31" t="n">
        <f aca="true">DATEDIF(B53,TODAY(),"d")</f>
        <v>844</v>
      </c>
      <c r="P53" s="32" t="n">
        <f aca="false">EOMONTH(B53,0)</f>
        <v>45473</v>
      </c>
      <c r="Q53" s="31" t="n">
        <f aca="false">IF(K53=Filter!$B$2,COUNTIF(K$2:K53,Filter!$B$2),"")</f>
        <v>14</v>
      </c>
    </row>
    <row r="54" customFormat="false" ht="15" hidden="false" customHeight="false" outlineLevel="0" collapsed="false">
      <c r="A54" s="31" t="s">
        <v>232</v>
      </c>
      <c r="B54" s="32" t="n">
        <v>45460</v>
      </c>
      <c r="C54" s="31" t="s">
        <v>204</v>
      </c>
      <c r="D54" s="31" t="s">
        <v>205</v>
      </c>
      <c r="E54" s="31" t="s">
        <v>168</v>
      </c>
      <c r="F54" s="31" t="s">
        <v>169</v>
      </c>
      <c r="G54" s="31" t="s">
        <v>109</v>
      </c>
      <c r="H54" s="31" t="n">
        <v>2</v>
      </c>
      <c r="I54" s="33" t="n">
        <v>299.99</v>
      </c>
      <c r="J54" s="31" t="s">
        <v>120</v>
      </c>
      <c r="K54" s="31" t="s">
        <v>126</v>
      </c>
      <c r="L54" s="31" t="s">
        <v>99</v>
      </c>
      <c r="M54" s="32" t="n">
        <v>45253</v>
      </c>
      <c r="N54" s="33" t="n">
        <f aca="false">H54*I54</f>
        <v>599.98</v>
      </c>
      <c r="O54" s="31" t="n">
        <f aca="true">DATEDIF(B54,TODAY(),"d")</f>
        <v>844</v>
      </c>
      <c r="P54" s="32" t="n">
        <f aca="false">EOMONTH(B54,0)</f>
        <v>45473</v>
      </c>
      <c r="Q54" s="31" t="str">
        <f aca="false">IF(K54=Filter!$B$2,COUNTIF(K$2:K54,Filter!$B$2),"")</f>
        <v/>
      </c>
    </row>
    <row r="55" customFormat="false" ht="15" hidden="false" customHeight="false" outlineLevel="0" collapsed="false">
      <c r="A55" s="31" t="s">
        <v>233</v>
      </c>
      <c r="B55" s="32" t="n">
        <v>45468</v>
      </c>
      <c r="C55" s="31" t="s">
        <v>234</v>
      </c>
      <c r="D55" s="31" t="s">
        <v>235</v>
      </c>
      <c r="E55" s="31" t="s">
        <v>180</v>
      </c>
      <c r="F55" s="31" t="s">
        <v>181</v>
      </c>
      <c r="G55" s="31" t="s">
        <v>82</v>
      </c>
      <c r="H55" s="31" t="n">
        <v>4</v>
      </c>
      <c r="I55" s="33" t="n">
        <v>89.99</v>
      </c>
      <c r="J55" s="31" t="s">
        <v>120</v>
      </c>
      <c r="K55" s="31" t="s">
        <v>98</v>
      </c>
      <c r="L55" s="31" t="s">
        <v>85</v>
      </c>
      <c r="M55" s="32" t="n">
        <v>45281</v>
      </c>
      <c r="N55" s="33" t="n">
        <f aca="false">H55*I55</f>
        <v>359.96</v>
      </c>
      <c r="O55" s="31" t="n">
        <f aca="true">DATEDIF(B55,TODAY(),"d")</f>
        <v>836</v>
      </c>
      <c r="P55" s="32" t="n">
        <f aca="false">EOMONTH(B55,0)</f>
        <v>45473</v>
      </c>
      <c r="Q55" s="31" t="str">
        <f aca="false">IF(K55=Filter!$B$2,COUNTIF(K$2:K55,Filter!$B$2),"")</f>
        <v/>
      </c>
    </row>
    <row r="56" customFormat="false" ht="15" hidden="false" customHeight="false" outlineLevel="0" collapsed="false">
      <c r="A56" s="31" t="s">
        <v>236</v>
      </c>
      <c r="B56" s="32" t="n">
        <v>45469</v>
      </c>
      <c r="C56" s="31" t="s">
        <v>92</v>
      </c>
      <c r="D56" s="31" t="s">
        <v>93</v>
      </c>
      <c r="E56" s="31" t="s">
        <v>177</v>
      </c>
      <c r="F56" s="31" t="s">
        <v>178</v>
      </c>
      <c r="G56" s="31" t="s">
        <v>96</v>
      </c>
      <c r="H56" s="31" t="n">
        <v>1</v>
      </c>
      <c r="I56" s="33" t="n">
        <v>79.99</v>
      </c>
      <c r="J56" s="31" t="s">
        <v>97</v>
      </c>
      <c r="K56" s="31" t="s">
        <v>84</v>
      </c>
      <c r="L56" s="31" t="s">
        <v>90</v>
      </c>
      <c r="M56" s="32" t="n">
        <v>45352</v>
      </c>
      <c r="N56" s="33" t="n">
        <f aca="false">H56*I56</f>
        <v>79.99</v>
      </c>
      <c r="O56" s="31" t="n">
        <f aca="true">DATEDIF(B56,TODAY(),"d")</f>
        <v>835</v>
      </c>
      <c r="P56" s="32" t="n">
        <f aca="false">EOMONTH(B56,0)</f>
        <v>45473</v>
      </c>
      <c r="Q56" s="31" t="str">
        <f aca="false">IF(K56=Filter!$B$2,COUNTIF(K$2:K56,Filter!$B$2),"")</f>
        <v/>
      </c>
    </row>
    <row r="57" customFormat="false" ht="15" hidden="false" customHeight="false" outlineLevel="0" collapsed="false">
      <c r="A57" s="31" t="s">
        <v>237</v>
      </c>
      <c r="B57" s="32" t="n">
        <v>45469</v>
      </c>
      <c r="C57" s="31" t="s">
        <v>122</v>
      </c>
      <c r="D57" s="31" t="s">
        <v>123</v>
      </c>
      <c r="E57" s="31" t="s">
        <v>180</v>
      </c>
      <c r="F57" s="31" t="s">
        <v>181</v>
      </c>
      <c r="G57" s="31" t="s">
        <v>82</v>
      </c>
      <c r="H57" s="31" t="n">
        <v>2</v>
      </c>
      <c r="I57" s="33" t="n">
        <v>89.99</v>
      </c>
      <c r="J57" s="31" t="s">
        <v>83</v>
      </c>
      <c r="K57" s="31" t="s">
        <v>113</v>
      </c>
      <c r="L57" s="31" t="s">
        <v>85</v>
      </c>
      <c r="M57" s="32" t="n">
        <v>44438</v>
      </c>
      <c r="N57" s="33" t="n">
        <f aca="false">H57*I57</f>
        <v>179.98</v>
      </c>
      <c r="O57" s="31" t="n">
        <f aca="true">DATEDIF(B57,TODAY(),"d")</f>
        <v>835</v>
      </c>
      <c r="P57" s="32" t="n">
        <f aca="false">EOMONTH(B57,0)</f>
        <v>45473</v>
      </c>
      <c r="Q57" s="31" t="n">
        <f aca="false">IF(K57=Filter!$B$2,COUNTIF(K$2:K57,Filter!$B$2),"")</f>
        <v>15</v>
      </c>
    </row>
    <row r="58" customFormat="false" ht="15" hidden="false" customHeight="false" outlineLevel="0" collapsed="false">
      <c r="A58" s="31" t="s">
        <v>238</v>
      </c>
      <c r="B58" s="32" t="n">
        <v>45471</v>
      </c>
      <c r="C58" s="31" t="s">
        <v>101</v>
      </c>
      <c r="D58" s="31" t="s">
        <v>102</v>
      </c>
      <c r="E58" s="31" t="s">
        <v>143</v>
      </c>
      <c r="F58" s="31" t="s">
        <v>144</v>
      </c>
      <c r="G58" s="31" t="s">
        <v>82</v>
      </c>
      <c r="H58" s="31" t="n">
        <v>3</v>
      </c>
      <c r="I58" s="33" t="n">
        <v>699.99</v>
      </c>
      <c r="J58" s="31" t="s">
        <v>89</v>
      </c>
      <c r="K58" s="31" t="s">
        <v>126</v>
      </c>
      <c r="L58" s="31" t="s">
        <v>90</v>
      </c>
      <c r="M58" s="32" t="n">
        <v>45102</v>
      </c>
      <c r="N58" s="33" t="n">
        <f aca="false">H58*I58</f>
        <v>2099.97</v>
      </c>
      <c r="O58" s="31" t="n">
        <f aca="true">DATEDIF(B58,TODAY(),"d")</f>
        <v>833</v>
      </c>
      <c r="P58" s="32" t="n">
        <f aca="false">EOMONTH(B58,0)</f>
        <v>45473</v>
      </c>
      <c r="Q58" s="31" t="str">
        <f aca="false">IF(K58=Filter!$B$2,COUNTIF(K$2:K58,Filter!$B$2),"")</f>
        <v/>
      </c>
    </row>
    <row r="59" customFormat="false" ht="15" hidden="false" customHeight="false" outlineLevel="0" collapsed="false">
      <c r="A59" s="31" t="s">
        <v>239</v>
      </c>
      <c r="B59" s="32" t="n">
        <v>45471</v>
      </c>
      <c r="C59" s="31" t="s">
        <v>162</v>
      </c>
      <c r="D59" s="31" t="s">
        <v>163</v>
      </c>
      <c r="E59" s="31" t="s">
        <v>124</v>
      </c>
      <c r="F59" s="31" t="s">
        <v>125</v>
      </c>
      <c r="G59" s="31" t="s">
        <v>82</v>
      </c>
      <c r="H59" s="31" t="n">
        <v>4</v>
      </c>
      <c r="I59" s="33" t="n">
        <v>899.99</v>
      </c>
      <c r="J59" s="31" t="s">
        <v>89</v>
      </c>
      <c r="K59" s="31" t="s">
        <v>126</v>
      </c>
      <c r="L59" s="31" t="s">
        <v>90</v>
      </c>
      <c r="M59" s="32" t="n">
        <v>44993</v>
      </c>
      <c r="N59" s="33" t="n">
        <f aca="false">H59*I59</f>
        <v>3599.96</v>
      </c>
      <c r="O59" s="31" t="n">
        <f aca="true">DATEDIF(B59,TODAY(),"d")</f>
        <v>833</v>
      </c>
      <c r="P59" s="32" t="n">
        <f aca="false">EOMONTH(B59,0)</f>
        <v>45473</v>
      </c>
      <c r="Q59" s="31" t="str">
        <f aca="false">IF(K59=Filter!$B$2,COUNTIF(K$2:K59,Filter!$B$2),"")</f>
        <v/>
      </c>
    </row>
    <row r="60" customFormat="false" ht="15" hidden="false" customHeight="false" outlineLevel="0" collapsed="false">
      <c r="A60" s="31" t="s">
        <v>240</v>
      </c>
      <c r="B60" s="32" t="n">
        <v>45472</v>
      </c>
      <c r="C60" s="31" t="s">
        <v>183</v>
      </c>
      <c r="D60" s="31" t="s">
        <v>184</v>
      </c>
      <c r="E60" s="31" t="s">
        <v>107</v>
      </c>
      <c r="F60" s="31" t="s">
        <v>108</v>
      </c>
      <c r="G60" s="31" t="s">
        <v>109</v>
      </c>
      <c r="H60" s="31" t="n">
        <v>1</v>
      </c>
      <c r="I60" s="33" t="n">
        <v>149.99</v>
      </c>
      <c r="J60" s="31" t="s">
        <v>97</v>
      </c>
      <c r="K60" s="31" t="s">
        <v>126</v>
      </c>
      <c r="L60" s="31" t="s">
        <v>85</v>
      </c>
      <c r="M60" s="32" t="n">
        <v>44851</v>
      </c>
      <c r="N60" s="33" t="n">
        <f aca="false">H60*I60</f>
        <v>149.99</v>
      </c>
      <c r="O60" s="31" t="n">
        <f aca="true">DATEDIF(B60,TODAY(),"d")</f>
        <v>832</v>
      </c>
      <c r="P60" s="32" t="n">
        <f aca="false">EOMONTH(B60,0)</f>
        <v>45473</v>
      </c>
      <c r="Q60" s="31" t="str">
        <f aca="false">IF(K60=Filter!$B$2,COUNTIF(K$2:K60,Filter!$B$2),"")</f>
        <v/>
      </c>
    </row>
    <row r="61" customFormat="false" ht="15" hidden="false" customHeight="false" outlineLevel="0" collapsed="false">
      <c r="A61" s="31" t="s">
        <v>241</v>
      </c>
      <c r="B61" s="32" t="n">
        <v>45474</v>
      </c>
      <c r="C61" s="31" t="s">
        <v>195</v>
      </c>
      <c r="D61" s="31" t="s">
        <v>196</v>
      </c>
      <c r="E61" s="31" t="s">
        <v>180</v>
      </c>
      <c r="F61" s="31" t="s">
        <v>181</v>
      </c>
      <c r="G61" s="31" t="s">
        <v>82</v>
      </c>
      <c r="H61" s="31" t="n">
        <v>2</v>
      </c>
      <c r="I61" s="33" t="n">
        <v>89.99</v>
      </c>
      <c r="J61" s="31" t="s">
        <v>97</v>
      </c>
      <c r="K61" s="31" t="s">
        <v>84</v>
      </c>
      <c r="L61" s="31" t="s">
        <v>90</v>
      </c>
      <c r="M61" s="32" t="n">
        <v>45275</v>
      </c>
      <c r="N61" s="33" t="n">
        <f aca="false">H61*I61</f>
        <v>179.98</v>
      </c>
      <c r="O61" s="31" t="n">
        <f aca="true">DATEDIF(B61,TODAY(),"d")</f>
        <v>830</v>
      </c>
      <c r="P61" s="32" t="n">
        <f aca="false">EOMONTH(B61,0)</f>
        <v>45504</v>
      </c>
      <c r="Q61" s="31" t="str">
        <f aca="false">IF(K61=Filter!$B$2,COUNTIF(K$2:K61,Filter!$B$2),"")</f>
        <v/>
      </c>
    </row>
    <row r="62" customFormat="false" ht="15" hidden="false" customHeight="false" outlineLevel="0" collapsed="false">
      <c r="A62" s="31" t="s">
        <v>242</v>
      </c>
      <c r="B62" s="32" t="n">
        <v>45475</v>
      </c>
      <c r="C62" s="31" t="s">
        <v>118</v>
      </c>
      <c r="D62" s="31" t="s">
        <v>119</v>
      </c>
      <c r="E62" s="31" t="s">
        <v>180</v>
      </c>
      <c r="F62" s="31" t="s">
        <v>181</v>
      </c>
      <c r="G62" s="31" t="s">
        <v>82</v>
      </c>
      <c r="H62" s="31" t="n">
        <v>1</v>
      </c>
      <c r="I62" s="33" t="n">
        <v>89.99</v>
      </c>
      <c r="J62" s="31" t="s">
        <v>97</v>
      </c>
      <c r="K62" s="31" t="s">
        <v>113</v>
      </c>
      <c r="L62" s="31" t="s">
        <v>99</v>
      </c>
      <c r="M62" s="32" t="n">
        <v>44802</v>
      </c>
      <c r="N62" s="33" t="n">
        <f aca="false">H62*I62</f>
        <v>89.99</v>
      </c>
      <c r="O62" s="31" t="n">
        <f aca="true">DATEDIF(B62,TODAY(),"d")</f>
        <v>829</v>
      </c>
      <c r="P62" s="32" t="n">
        <f aca="false">EOMONTH(B62,0)</f>
        <v>45504</v>
      </c>
      <c r="Q62" s="31" t="n">
        <f aca="false">IF(K62=Filter!$B$2,COUNTIF(K$2:K62,Filter!$B$2),"")</f>
        <v>16</v>
      </c>
    </row>
    <row r="63" customFormat="false" ht="15" hidden="false" customHeight="false" outlineLevel="0" collapsed="false">
      <c r="A63" s="31" t="s">
        <v>243</v>
      </c>
      <c r="B63" s="32" t="n">
        <v>45476</v>
      </c>
      <c r="C63" s="31" t="s">
        <v>131</v>
      </c>
      <c r="D63" s="31" t="s">
        <v>132</v>
      </c>
      <c r="E63" s="31" t="s">
        <v>180</v>
      </c>
      <c r="F63" s="31" t="s">
        <v>181</v>
      </c>
      <c r="G63" s="31" t="s">
        <v>82</v>
      </c>
      <c r="H63" s="31" t="n">
        <v>1</v>
      </c>
      <c r="I63" s="33" t="n">
        <v>89.99</v>
      </c>
      <c r="J63" s="31" t="s">
        <v>83</v>
      </c>
      <c r="K63" s="31" t="s">
        <v>98</v>
      </c>
      <c r="L63" s="31" t="s">
        <v>99</v>
      </c>
      <c r="M63" s="32" t="n">
        <v>44611</v>
      </c>
      <c r="N63" s="33" t="n">
        <f aca="false">H63*I63</f>
        <v>89.99</v>
      </c>
      <c r="O63" s="31" t="n">
        <f aca="true">DATEDIF(B63,TODAY(),"d")</f>
        <v>828</v>
      </c>
      <c r="P63" s="32" t="n">
        <f aca="false">EOMONTH(B63,0)</f>
        <v>45504</v>
      </c>
      <c r="Q63" s="31" t="str">
        <f aca="false">IF(K63=Filter!$B$2,COUNTIF(K$2:K63,Filter!$B$2),"")</f>
        <v/>
      </c>
    </row>
    <row r="64" customFormat="false" ht="15" hidden="false" customHeight="false" outlineLevel="0" collapsed="false">
      <c r="A64" s="31" t="s">
        <v>244</v>
      </c>
      <c r="B64" s="32" t="n">
        <v>45476</v>
      </c>
      <c r="C64" s="31" t="s">
        <v>245</v>
      </c>
      <c r="D64" s="31" t="s">
        <v>246</v>
      </c>
      <c r="E64" s="31" t="s">
        <v>177</v>
      </c>
      <c r="F64" s="31" t="s">
        <v>178</v>
      </c>
      <c r="G64" s="31" t="s">
        <v>96</v>
      </c>
      <c r="H64" s="31" t="n">
        <v>5</v>
      </c>
      <c r="I64" s="33" t="n">
        <v>79.99</v>
      </c>
      <c r="J64" s="31" t="s">
        <v>120</v>
      </c>
      <c r="K64" s="31" t="s">
        <v>84</v>
      </c>
      <c r="L64" s="31" t="s">
        <v>85</v>
      </c>
      <c r="M64" s="32" t="n">
        <v>44981</v>
      </c>
      <c r="N64" s="33" t="n">
        <f aca="false">H64*I64</f>
        <v>399.95</v>
      </c>
      <c r="O64" s="31" t="n">
        <f aca="true">DATEDIF(B64,TODAY(),"d")</f>
        <v>828</v>
      </c>
      <c r="P64" s="32" t="n">
        <f aca="false">EOMONTH(B64,0)</f>
        <v>45504</v>
      </c>
      <c r="Q64" s="31" t="str">
        <f aca="false">IF(K64=Filter!$B$2,COUNTIF(K$2:K64,Filter!$B$2),"")</f>
        <v/>
      </c>
    </row>
    <row r="65" customFormat="false" ht="15" hidden="false" customHeight="false" outlineLevel="0" collapsed="false">
      <c r="A65" s="31" t="s">
        <v>247</v>
      </c>
      <c r="B65" s="32" t="n">
        <v>45481</v>
      </c>
      <c r="C65" s="31" t="s">
        <v>248</v>
      </c>
      <c r="D65" s="31" t="s">
        <v>249</v>
      </c>
      <c r="E65" s="31" t="s">
        <v>107</v>
      </c>
      <c r="F65" s="31" t="s">
        <v>108</v>
      </c>
      <c r="G65" s="31" t="s">
        <v>109</v>
      </c>
      <c r="H65" s="31" t="n">
        <v>1</v>
      </c>
      <c r="I65" s="33" t="n">
        <v>149.99</v>
      </c>
      <c r="J65" s="31" t="s">
        <v>97</v>
      </c>
      <c r="K65" s="31" t="s">
        <v>103</v>
      </c>
      <c r="L65" s="31" t="s">
        <v>85</v>
      </c>
      <c r="M65" s="32" t="n">
        <v>44421</v>
      </c>
      <c r="N65" s="33" t="n">
        <f aca="false">H65*I65</f>
        <v>149.99</v>
      </c>
      <c r="O65" s="31" t="n">
        <f aca="true">DATEDIF(B65,TODAY(),"d")</f>
        <v>823</v>
      </c>
      <c r="P65" s="32" t="n">
        <f aca="false">EOMONTH(B65,0)</f>
        <v>45504</v>
      </c>
      <c r="Q65" s="31" t="str">
        <f aca="false">IF(K65=Filter!$B$2,COUNTIF(K$2:K65,Filter!$B$2),"")</f>
        <v/>
      </c>
    </row>
    <row r="66" customFormat="false" ht="15" hidden="false" customHeight="false" outlineLevel="0" collapsed="false">
      <c r="A66" s="31" t="s">
        <v>250</v>
      </c>
      <c r="B66" s="32" t="n">
        <v>45481</v>
      </c>
      <c r="C66" s="31" t="s">
        <v>105</v>
      </c>
      <c r="D66" s="31" t="s">
        <v>106</v>
      </c>
      <c r="E66" s="31" t="s">
        <v>143</v>
      </c>
      <c r="F66" s="31" t="s">
        <v>144</v>
      </c>
      <c r="G66" s="31" t="s">
        <v>82</v>
      </c>
      <c r="H66" s="31" t="n">
        <v>2</v>
      </c>
      <c r="I66" s="33" t="n">
        <v>699.99</v>
      </c>
      <c r="J66" s="31" t="s">
        <v>97</v>
      </c>
      <c r="K66" s="31" t="s">
        <v>126</v>
      </c>
      <c r="L66" s="31" t="s">
        <v>90</v>
      </c>
      <c r="M66" s="32" t="n">
        <v>45389</v>
      </c>
      <c r="N66" s="33" t="n">
        <f aca="false">H66*I66</f>
        <v>1399.98</v>
      </c>
      <c r="O66" s="31" t="n">
        <f aca="true">DATEDIF(B66,TODAY(),"d")</f>
        <v>823</v>
      </c>
      <c r="P66" s="32" t="n">
        <f aca="false">EOMONTH(B66,0)</f>
        <v>45504</v>
      </c>
      <c r="Q66" s="31" t="str">
        <f aca="false">IF(K66=Filter!$B$2,COUNTIF(K$2:K66,Filter!$B$2),"")</f>
        <v/>
      </c>
    </row>
    <row r="67" customFormat="false" ht="15" hidden="false" customHeight="false" outlineLevel="0" collapsed="false">
      <c r="A67" s="31" t="s">
        <v>251</v>
      </c>
      <c r="B67" s="32" t="n">
        <v>45481</v>
      </c>
      <c r="C67" s="31" t="s">
        <v>159</v>
      </c>
      <c r="D67" s="31" t="s">
        <v>160</v>
      </c>
      <c r="E67" s="31" t="s">
        <v>180</v>
      </c>
      <c r="F67" s="31" t="s">
        <v>181</v>
      </c>
      <c r="G67" s="31" t="s">
        <v>82</v>
      </c>
      <c r="H67" s="31" t="n">
        <v>5</v>
      </c>
      <c r="I67" s="33" t="n">
        <v>89.99</v>
      </c>
      <c r="J67" s="31" t="s">
        <v>120</v>
      </c>
      <c r="K67" s="31" t="s">
        <v>103</v>
      </c>
      <c r="L67" s="31" t="s">
        <v>90</v>
      </c>
      <c r="M67" s="32" t="n">
        <v>45161</v>
      </c>
      <c r="N67" s="33" t="n">
        <f aca="false">H67*I67</f>
        <v>449.95</v>
      </c>
      <c r="O67" s="31" t="n">
        <f aca="true">DATEDIF(B67,TODAY(),"d")</f>
        <v>823</v>
      </c>
      <c r="P67" s="32" t="n">
        <f aca="false">EOMONTH(B67,0)</f>
        <v>45504</v>
      </c>
      <c r="Q67" s="31" t="str">
        <f aca="false">IF(K67=Filter!$B$2,COUNTIF(K$2:K67,Filter!$B$2),"")</f>
        <v/>
      </c>
    </row>
    <row r="68" customFormat="false" ht="15" hidden="false" customHeight="false" outlineLevel="0" collapsed="false">
      <c r="A68" s="31" t="s">
        <v>252</v>
      </c>
      <c r="B68" s="32" t="n">
        <v>45482</v>
      </c>
      <c r="C68" s="31" t="s">
        <v>234</v>
      </c>
      <c r="D68" s="31" t="s">
        <v>235</v>
      </c>
      <c r="E68" s="31" t="s">
        <v>94</v>
      </c>
      <c r="F68" s="31" t="s">
        <v>95</v>
      </c>
      <c r="G68" s="31" t="s">
        <v>96</v>
      </c>
      <c r="H68" s="31" t="n">
        <v>4</v>
      </c>
      <c r="I68" s="33" t="n">
        <v>59.99</v>
      </c>
      <c r="J68" s="31" t="s">
        <v>83</v>
      </c>
      <c r="K68" s="31" t="s">
        <v>98</v>
      </c>
      <c r="L68" s="31" t="s">
        <v>99</v>
      </c>
      <c r="M68" s="32" t="n">
        <v>44509</v>
      </c>
      <c r="N68" s="33" t="n">
        <f aca="false">H68*I68</f>
        <v>239.96</v>
      </c>
      <c r="O68" s="31" t="n">
        <f aca="true">DATEDIF(B68,TODAY(),"d")</f>
        <v>822</v>
      </c>
      <c r="P68" s="32" t="n">
        <f aca="false">EOMONTH(B68,0)</f>
        <v>45504</v>
      </c>
      <c r="Q68" s="31" t="str">
        <f aca="false">IF(K68=Filter!$B$2,COUNTIF(K$2:K68,Filter!$B$2),"")</f>
        <v/>
      </c>
    </row>
    <row r="69" customFormat="false" ht="15" hidden="false" customHeight="false" outlineLevel="0" collapsed="false">
      <c r="A69" s="31" t="s">
        <v>253</v>
      </c>
      <c r="B69" s="32" t="n">
        <v>45484</v>
      </c>
      <c r="C69" s="31" t="s">
        <v>87</v>
      </c>
      <c r="D69" s="31" t="s">
        <v>88</v>
      </c>
      <c r="E69" s="31" t="s">
        <v>115</v>
      </c>
      <c r="F69" s="31" t="s">
        <v>116</v>
      </c>
      <c r="G69" s="31" t="s">
        <v>82</v>
      </c>
      <c r="H69" s="31" t="n">
        <v>1</v>
      </c>
      <c r="I69" s="33" t="n">
        <v>149.99</v>
      </c>
      <c r="J69" s="31" t="s">
        <v>83</v>
      </c>
      <c r="K69" s="31" t="s">
        <v>84</v>
      </c>
      <c r="L69" s="31" t="s">
        <v>99</v>
      </c>
      <c r="M69" s="32" t="n">
        <v>44909</v>
      </c>
      <c r="N69" s="33" t="n">
        <f aca="false">H69*I69</f>
        <v>149.99</v>
      </c>
      <c r="O69" s="31" t="n">
        <f aca="true">DATEDIF(B69,TODAY(),"d")</f>
        <v>820</v>
      </c>
      <c r="P69" s="32" t="n">
        <f aca="false">EOMONTH(B69,0)</f>
        <v>45504</v>
      </c>
      <c r="Q69" s="31" t="str">
        <f aca="false">IF(K69=Filter!$B$2,COUNTIF(K$2:K69,Filter!$B$2),"")</f>
        <v/>
      </c>
    </row>
    <row r="70" customFormat="false" ht="15" hidden="false" customHeight="false" outlineLevel="0" collapsed="false">
      <c r="A70" s="31" t="s">
        <v>254</v>
      </c>
      <c r="B70" s="32" t="n">
        <v>45484</v>
      </c>
      <c r="C70" s="31" t="s">
        <v>255</v>
      </c>
      <c r="D70" s="31" t="s">
        <v>256</v>
      </c>
      <c r="E70" s="31" t="s">
        <v>168</v>
      </c>
      <c r="F70" s="31" t="s">
        <v>169</v>
      </c>
      <c r="G70" s="31" t="s">
        <v>109</v>
      </c>
      <c r="H70" s="31" t="n">
        <v>1</v>
      </c>
      <c r="I70" s="33" t="n">
        <v>299.99</v>
      </c>
      <c r="J70" s="31" t="s">
        <v>89</v>
      </c>
      <c r="K70" s="31" t="s">
        <v>103</v>
      </c>
      <c r="L70" s="31" t="s">
        <v>90</v>
      </c>
      <c r="M70" s="32" t="n">
        <v>44891</v>
      </c>
      <c r="N70" s="33" t="n">
        <f aca="false">H70*I70</f>
        <v>299.99</v>
      </c>
      <c r="O70" s="31" t="n">
        <f aca="true">DATEDIF(B70,TODAY(),"d")</f>
        <v>820</v>
      </c>
      <c r="P70" s="32" t="n">
        <f aca="false">EOMONTH(B70,0)</f>
        <v>45504</v>
      </c>
      <c r="Q70" s="31" t="str">
        <f aca="false">IF(K70=Filter!$B$2,COUNTIF(K$2:K70,Filter!$B$2),"")</f>
        <v/>
      </c>
    </row>
    <row r="71" customFormat="false" ht="15" hidden="false" customHeight="false" outlineLevel="0" collapsed="false">
      <c r="A71" s="31" t="s">
        <v>257</v>
      </c>
      <c r="B71" s="32" t="n">
        <v>45487</v>
      </c>
      <c r="C71" s="31" t="s">
        <v>255</v>
      </c>
      <c r="D71" s="31" t="s">
        <v>256</v>
      </c>
      <c r="E71" s="31" t="s">
        <v>189</v>
      </c>
      <c r="F71" s="31" t="s">
        <v>190</v>
      </c>
      <c r="G71" s="31" t="s">
        <v>109</v>
      </c>
      <c r="H71" s="31" t="n">
        <v>2</v>
      </c>
      <c r="I71" s="33" t="n">
        <v>199.99</v>
      </c>
      <c r="J71" s="31" t="s">
        <v>83</v>
      </c>
      <c r="K71" s="31" t="s">
        <v>103</v>
      </c>
      <c r="L71" s="31" t="s">
        <v>85</v>
      </c>
      <c r="M71" s="32" t="n">
        <v>44541</v>
      </c>
      <c r="N71" s="33" t="n">
        <f aca="false">H71*I71</f>
        <v>399.98</v>
      </c>
      <c r="O71" s="31" t="n">
        <f aca="true">DATEDIF(B71,TODAY(),"d")</f>
        <v>817</v>
      </c>
      <c r="P71" s="32" t="n">
        <f aca="false">EOMONTH(B71,0)</f>
        <v>45504</v>
      </c>
      <c r="Q71" s="31" t="str">
        <f aca="false">IF(K71=Filter!$B$2,COUNTIF(K$2:K71,Filter!$B$2),"")</f>
        <v/>
      </c>
    </row>
    <row r="72" customFormat="false" ht="15" hidden="false" customHeight="false" outlineLevel="0" collapsed="false">
      <c r="A72" s="31" t="s">
        <v>258</v>
      </c>
      <c r="B72" s="32" t="n">
        <v>45490</v>
      </c>
      <c r="C72" s="31" t="s">
        <v>259</v>
      </c>
      <c r="D72" s="31" t="s">
        <v>260</v>
      </c>
      <c r="E72" s="31" t="s">
        <v>94</v>
      </c>
      <c r="F72" s="31" t="s">
        <v>95</v>
      </c>
      <c r="G72" s="31" t="s">
        <v>96</v>
      </c>
      <c r="H72" s="31" t="n">
        <v>3</v>
      </c>
      <c r="I72" s="33" t="n">
        <v>59.99</v>
      </c>
      <c r="J72" s="31" t="s">
        <v>89</v>
      </c>
      <c r="K72" s="31" t="s">
        <v>113</v>
      </c>
      <c r="L72" s="31" t="s">
        <v>85</v>
      </c>
      <c r="M72" s="32" t="n">
        <v>45130</v>
      </c>
      <c r="N72" s="33" t="n">
        <f aca="false">H72*I72</f>
        <v>179.97</v>
      </c>
      <c r="O72" s="31" t="n">
        <f aca="true">DATEDIF(B72,TODAY(),"d")</f>
        <v>814</v>
      </c>
      <c r="P72" s="32" t="n">
        <f aca="false">EOMONTH(B72,0)</f>
        <v>45504</v>
      </c>
      <c r="Q72" s="31" t="n">
        <f aca="false">IF(K72=Filter!$B$2,COUNTIF(K$2:K72,Filter!$B$2),"")</f>
        <v>17</v>
      </c>
    </row>
    <row r="73" customFormat="false" ht="15" hidden="false" customHeight="false" outlineLevel="0" collapsed="false">
      <c r="A73" s="31" t="s">
        <v>261</v>
      </c>
      <c r="B73" s="32" t="n">
        <v>45490</v>
      </c>
      <c r="C73" s="31" t="s">
        <v>135</v>
      </c>
      <c r="D73" s="31" t="s">
        <v>136</v>
      </c>
      <c r="E73" s="31" t="s">
        <v>107</v>
      </c>
      <c r="F73" s="31" t="s">
        <v>108</v>
      </c>
      <c r="G73" s="31" t="s">
        <v>109</v>
      </c>
      <c r="H73" s="31" t="n">
        <v>3</v>
      </c>
      <c r="I73" s="33" t="n">
        <v>149.99</v>
      </c>
      <c r="J73" s="31" t="s">
        <v>83</v>
      </c>
      <c r="K73" s="31" t="s">
        <v>84</v>
      </c>
      <c r="L73" s="31" t="s">
        <v>90</v>
      </c>
      <c r="M73" s="32" t="n">
        <v>45199</v>
      </c>
      <c r="N73" s="33" t="n">
        <f aca="false">H73*I73</f>
        <v>449.97</v>
      </c>
      <c r="O73" s="31" t="n">
        <f aca="true">DATEDIF(B73,TODAY(),"d")</f>
        <v>814</v>
      </c>
      <c r="P73" s="32" t="n">
        <f aca="false">EOMONTH(B73,0)</f>
        <v>45504</v>
      </c>
      <c r="Q73" s="31" t="str">
        <f aca="false">IF(K73=Filter!$B$2,COUNTIF(K$2:K73,Filter!$B$2),"")</f>
        <v/>
      </c>
    </row>
    <row r="74" customFormat="false" ht="15" hidden="false" customHeight="false" outlineLevel="0" collapsed="false">
      <c r="A74" s="31" t="s">
        <v>262</v>
      </c>
      <c r="B74" s="32" t="n">
        <v>45491</v>
      </c>
      <c r="C74" s="31" t="s">
        <v>128</v>
      </c>
      <c r="D74" s="31" t="s">
        <v>129</v>
      </c>
      <c r="E74" s="31" t="s">
        <v>189</v>
      </c>
      <c r="F74" s="31" t="s">
        <v>190</v>
      </c>
      <c r="G74" s="31" t="s">
        <v>109</v>
      </c>
      <c r="H74" s="31" t="n">
        <v>3</v>
      </c>
      <c r="I74" s="33" t="n">
        <v>199.99</v>
      </c>
      <c r="J74" s="31" t="s">
        <v>83</v>
      </c>
      <c r="K74" s="31" t="s">
        <v>103</v>
      </c>
      <c r="L74" s="31" t="s">
        <v>90</v>
      </c>
      <c r="M74" s="32" t="n">
        <v>45254</v>
      </c>
      <c r="N74" s="33" t="n">
        <f aca="false">H74*I74</f>
        <v>599.97</v>
      </c>
      <c r="O74" s="31" t="n">
        <f aca="true">DATEDIF(B74,TODAY(),"d")</f>
        <v>813</v>
      </c>
      <c r="P74" s="32" t="n">
        <f aca="false">EOMONTH(B74,0)</f>
        <v>45504</v>
      </c>
      <c r="Q74" s="31" t="str">
        <f aca="false">IF(K74=Filter!$B$2,COUNTIF(K$2:K74,Filter!$B$2),"")</f>
        <v/>
      </c>
    </row>
    <row r="75" customFormat="false" ht="15" hidden="false" customHeight="false" outlineLevel="0" collapsed="false">
      <c r="A75" s="31" t="s">
        <v>263</v>
      </c>
      <c r="B75" s="32" t="n">
        <v>45496</v>
      </c>
      <c r="C75" s="31" t="s">
        <v>213</v>
      </c>
      <c r="D75" s="31" t="s">
        <v>214</v>
      </c>
      <c r="E75" s="31" t="s">
        <v>124</v>
      </c>
      <c r="F75" s="31" t="s">
        <v>125</v>
      </c>
      <c r="G75" s="31" t="s">
        <v>82</v>
      </c>
      <c r="H75" s="31" t="n">
        <v>1</v>
      </c>
      <c r="I75" s="33" t="n">
        <v>899.99</v>
      </c>
      <c r="J75" s="31" t="s">
        <v>83</v>
      </c>
      <c r="K75" s="31" t="s">
        <v>84</v>
      </c>
      <c r="L75" s="31" t="s">
        <v>99</v>
      </c>
      <c r="M75" s="32" t="n">
        <v>45179</v>
      </c>
      <c r="N75" s="33" t="n">
        <f aca="false">H75*I75</f>
        <v>899.99</v>
      </c>
      <c r="O75" s="31" t="n">
        <f aca="true">DATEDIF(B75,TODAY(),"d")</f>
        <v>808</v>
      </c>
      <c r="P75" s="32" t="n">
        <f aca="false">EOMONTH(B75,0)</f>
        <v>45504</v>
      </c>
      <c r="Q75" s="31" t="str">
        <f aca="false">IF(K75=Filter!$B$2,COUNTIF(K$2:K75,Filter!$B$2),"")</f>
        <v/>
      </c>
    </row>
    <row r="76" customFormat="false" ht="15" hidden="false" customHeight="false" outlineLevel="0" collapsed="false">
      <c r="A76" s="31" t="s">
        <v>264</v>
      </c>
      <c r="B76" s="32" t="n">
        <v>45497</v>
      </c>
      <c r="C76" s="31" t="s">
        <v>87</v>
      </c>
      <c r="D76" s="31" t="s">
        <v>88</v>
      </c>
      <c r="E76" s="31" t="s">
        <v>124</v>
      </c>
      <c r="F76" s="31" t="s">
        <v>125</v>
      </c>
      <c r="G76" s="31" t="s">
        <v>82</v>
      </c>
      <c r="H76" s="31" t="n">
        <v>5</v>
      </c>
      <c r="I76" s="33" t="n">
        <v>899.99</v>
      </c>
      <c r="J76" s="31" t="s">
        <v>120</v>
      </c>
      <c r="K76" s="31" t="s">
        <v>98</v>
      </c>
      <c r="L76" s="31" t="s">
        <v>99</v>
      </c>
      <c r="M76" s="32" t="n">
        <v>44899</v>
      </c>
      <c r="N76" s="33" t="n">
        <f aca="false">H76*I76</f>
        <v>4499.95</v>
      </c>
      <c r="O76" s="31" t="n">
        <f aca="true">DATEDIF(B76,TODAY(),"d")</f>
        <v>807</v>
      </c>
      <c r="P76" s="32" t="n">
        <f aca="false">EOMONTH(B76,0)</f>
        <v>45504</v>
      </c>
      <c r="Q76" s="31" t="str">
        <f aca="false">IF(K76=Filter!$B$2,COUNTIF(K$2:K76,Filter!$B$2),"")</f>
        <v/>
      </c>
    </row>
    <row r="77" customFormat="false" ht="15" hidden="false" customHeight="false" outlineLevel="0" collapsed="false">
      <c r="A77" s="31" t="s">
        <v>265</v>
      </c>
      <c r="B77" s="32" t="n">
        <v>45498</v>
      </c>
      <c r="C77" s="31" t="s">
        <v>245</v>
      </c>
      <c r="D77" s="31" t="s">
        <v>246</v>
      </c>
      <c r="E77" s="31" t="s">
        <v>94</v>
      </c>
      <c r="F77" s="31" t="s">
        <v>95</v>
      </c>
      <c r="G77" s="31" t="s">
        <v>96</v>
      </c>
      <c r="H77" s="31" t="n">
        <v>2</v>
      </c>
      <c r="I77" s="33" t="n">
        <v>59.99</v>
      </c>
      <c r="J77" s="31" t="s">
        <v>83</v>
      </c>
      <c r="K77" s="31" t="s">
        <v>103</v>
      </c>
      <c r="L77" s="31" t="s">
        <v>99</v>
      </c>
      <c r="M77" s="32" t="n">
        <v>45152</v>
      </c>
      <c r="N77" s="33" t="n">
        <f aca="false">H77*I77</f>
        <v>119.98</v>
      </c>
      <c r="O77" s="31" t="n">
        <f aca="true">DATEDIF(B77,TODAY(),"d")</f>
        <v>806</v>
      </c>
      <c r="P77" s="32" t="n">
        <f aca="false">EOMONTH(B77,0)</f>
        <v>45504</v>
      </c>
      <c r="Q77" s="31" t="str">
        <f aca="false">IF(K77=Filter!$B$2,COUNTIF(K$2:K77,Filter!$B$2),"")</f>
        <v/>
      </c>
    </row>
    <row r="78" customFormat="false" ht="15" hidden="false" customHeight="false" outlineLevel="0" collapsed="false">
      <c r="A78" s="31" t="s">
        <v>266</v>
      </c>
      <c r="B78" s="32" t="n">
        <v>45498</v>
      </c>
      <c r="C78" s="31" t="s">
        <v>259</v>
      </c>
      <c r="D78" s="31" t="s">
        <v>260</v>
      </c>
      <c r="E78" s="31" t="s">
        <v>80</v>
      </c>
      <c r="F78" s="31" t="s">
        <v>81</v>
      </c>
      <c r="G78" s="31" t="s">
        <v>82</v>
      </c>
      <c r="H78" s="31" t="n">
        <v>4</v>
      </c>
      <c r="I78" s="33" t="n">
        <v>249.99</v>
      </c>
      <c r="J78" s="31" t="s">
        <v>120</v>
      </c>
      <c r="K78" s="31" t="s">
        <v>84</v>
      </c>
      <c r="L78" s="31" t="s">
        <v>99</v>
      </c>
      <c r="M78" s="32" t="n">
        <v>45127</v>
      </c>
      <c r="N78" s="33" t="n">
        <f aca="false">H78*I78</f>
        <v>999.96</v>
      </c>
      <c r="O78" s="31" t="n">
        <f aca="true">DATEDIF(B78,TODAY(),"d")</f>
        <v>806</v>
      </c>
      <c r="P78" s="32" t="n">
        <f aca="false">EOMONTH(B78,0)</f>
        <v>45504</v>
      </c>
      <c r="Q78" s="31" t="str">
        <f aca="false">IF(K78=Filter!$B$2,COUNTIF(K$2:K78,Filter!$B$2),"")</f>
        <v/>
      </c>
    </row>
    <row r="79" customFormat="false" ht="15" hidden="false" customHeight="false" outlineLevel="0" collapsed="false">
      <c r="A79" s="31" t="s">
        <v>267</v>
      </c>
      <c r="B79" s="32" t="n">
        <v>45500</v>
      </c>
      <c r="C79" s="31" t="s">
        <v>159</v>
      </c>
      <c r="D79" s="31" t="s">
        <v>160</v>
      </c>
      <c r="E79" s="31" t="s">
        <v>80</v>
      </c>
      <c r="F79" s="31" t="s">
        <v>81</v>
      </c>
      <c r="G79" s="31" t="s">
        <v>82</v>
      </c>
      <c r="H79" s="31" t="n">
        <v>2</v>
      </c>
      <c r="I79" s="33" t="n">
        <v>249.99</v>
      </c>
      <c r="J79" s="31" t="s">
        <v>83</v>
      </c>
      <c r="K79" s="31" t="s">
        <v>103</v>
      </c>
      <c r="L79" s="31" t="s">
        <v>90</v>
      </c>
      <c r="M79" s="32" t="n">
        <v>45164</v>
      </c>
      <c r="N79" s="33" t="n">
        <f aca="false">H79*I79</f>
        <v>499.98</v>
      </c>
      <c r="O79" s="31" t="n">
        <f aca="true">DATEDIF(B79,TODAY(),"d")</f>
        <v>804</v>
      </c>
      <c r="P79" s="32" t="n">
        <f aca="false">EOMONTH(B79,0)</f>
        <v>45504</v>
      </c>
      <c r="Q79" s="31" t="str">
        <f aca="false">IF(K79=Filter!$B$2,COUNTIF(K$2:K79,Filter!$B$2),"")</f>
        <v/>
      </c>
    </row>
    <row r="80" customFormat="false" ht="15" hidden="false" customHeight="false" outlineLevel="0" collapsed="false">
      <c r="A80" s="31" t="s">
        <v>268</v>
      </c>
      <c r="B80" s="32" t="n">
        <v>45500</v>
      </c>
      <c r="C80" s="31" t="s">
        <v>210</v>
      </c>
      <c r="D80" s="31" t="s">
        <v>211</v>
      </c>
      <c r="E80" s="31" t="s">
        <v>168</v>
      </c>
      <c r="F80" s="31" t="s">
        <v>169</v>
      </c>
      <c r="G80" s="31" t="s">
        <v>109</v>
      </c>
      <c r="H80" s="31" t="n">
        <v>1</v>
      </c>
      <c r="I80" s="33" t="n">
        <v>299.99</v>
      </c>
      <c r="J80" s="31" t="s">
        <v>83</v>
      </c>
      <c r="K80" s="31" t="s">
        <v>98</v>
      </c>
      <c r="L80" s="31" t="s">
        <v>85</v>
      </c>
      <c r="M80" s="32" t="n">
        <v>44982</v>
      </c>
      <c r="N80" s="33" t="n">
        <f aca="false">H80*I80</f>
        <v>299.99</v>
      </c>
      <c r="O80" s="31" t="n">
        <f aca="true">DATEDIF(B80,TODAY(),"d")</f>
        <v>804</v>
      </c>
      <c r="P80" s="32" t="n">
        <f aca="false">EOMONTH(B80,0)</f>
        <v>45504</v>
      </c>
      <c r="Q80" s="31" t="str">
        <f aca="false">IF(K80=Filter!$B$2,COUNTIF(K$2:K80,Filter!$B$2),"")</f>
        <v/>
      </c>
    </row>
    <row r="81" customFormat="false" ht="15" hidden="false" customHeight="false" outlineLevel="0" collapsed="false">
      <c r="A81" s="31" t="s">
        <v>269</v>
      </c>
      <c r="B81" s="32" t="n">
        <v>45501</v>
      </c>
      <c r="C81" s="31" t="s">
        <v>149</v>
      </c>
      <c r="D81" s="31" t="s">
        <v>150</v>
      </c>
      <c r="E81" s="31" t="s">
        <v>180</v>
      </c>
      <c r="F81" s="31" t="s">
        <v>181</v>
      </c>
      <c r="G81" s="31" t="s">
        <v>82</v>
      </c>
      <c r="H81" s="31" t="n">
        <v>2</v>
      </c>
      <c r="I81" s="33" t="n">
        <v>89.99</v>
      </c>
      <c r="J81" s="31" t="s">
        <v>97</v>
      </c>
      <c r="K81" s="31" t="s">
        <v>98</v>
      </c>
      <c r="L81" s="31" t="s">
        <v>85</v>
      </c>
      <c r="M81" s="32" t="n">
        <v>44976</v>
      </c>
      <c r="N81" s="33" t="n">
        <f aca="false">H81*I81</f>
        <v>179.98</v>
      </c>
      <c r="O81" s="31" t="n">
        <f aca="true">DATEDIF(B81,TODAY(),"d")</f>
        <v>803</v>
      </c>
      <c r="P81" s="32" t="n">
        <f aca="false">EOMONTH(B81,0)</f>
        <v>45504</v>
      </c>
      <c r="Q81" s="31" t="str">
        <f aca="false">IF(K81=Filter!$B$2,COUNTIF(K$2:K81,Filter!$B$2),"")</f>
        <v/>
      </c>
    </row>
    <row r="82" customFormat="false" ht="15" hidden="false" customHeight="false" outlineLevel="0" collapsed="false">
      <c r="A82" s="31" t="s">
        <v>270</v>
      </c>
      <c r="B82" s="32" t="n">
        <v>45501</v>
      </c>
      <c r="C82" s="31" t="s">
        <v>210</v>
      </c>
      <c r="D82" s="31" t="s">
        <v>211</v>
      </c>
      <c r="E82" s="31" t="s">
        <v>168</v>
      </c>
      <c r="F82" s="31" t="s">
        <v>169</v>
      </c>
      <c r="G82" s="31" t="s">
        <v>109</v>
      </c>
      <c r="H82" s="31" t="n">
        <v>3</v>
      </c>
      <c r="I82" s="33" t="n">
        <v>299.99</v>
      </c>
      <c r="J82" s="31" t="s">
        <v>83</v>
      </c>
      <c r="K82" s="31" t="s">
        <v>84</v>
      </c>
      <c r="L82" s="31" t="s">
        <v>85</v>
      </c>
      <c r="M82" s="32" t="n">
        <v>44732</v>
      </c>
      <c r="N82" s="33" t="n">
        <f aca="false">H82*I82</f>
        <v>899.97</v>
      </c>
      <c r="O82" s="31" t="n">
        <f aca="true">DATEDIF(B82,TODAY(),"d")</f>
        <v>803</v>
      </c>
      <c r="P82" s="32" t="n">
        <f aca="false">EOMONTH(B82,0)</f>
        <v>45504</v>
      </c>
      <c r="Q82" s="31" t="str">
        <f aca="false">IF(K82=Filter!$B$2,COUNTIF(K$2:K82,Filter!$B$2),"")</f>
        <v/>
      </c>
    </row>
    <row r="83" customFormat="false" ht="15" hidden="false" customHeight="false" outlineLevel="0" collapsed="false">
      <c r="A83" s="31" t="s">
        <v>271</v>
      </c>
      <c r="B83" s="32" t="n">
        <v>45503</v>
      </c>
      <c r="C83" s="31" t="s">
        <v>149</v>
      </c>
      <c r="D83" s="31" t="s">
        <v>150</v>
      </c>
      <c r="E83" s="31" t="s">
        <v>143</v>
      </c>
      <c r="F83" s="31" t="s">
        <v>144</v>
      </c>
      <c r="G83" s="31" t="s">
        <v>82</v>
      </c>
      <c r="H83" s="31" t="n">
        <v>2</v>
      </c>
      <c r="I83" s="33" t="n">
        <v>699.99</v>
      </c>
      <c r="J83" s="31" t="s">
        <v>89</v>
      </c>
      <c r="K83" s="31" t="s">
        <v>103</v>
      </c>
      <c r="L83" s="31" t="s">
        <v>90</v>
      </c>
      <c r="M83" s="32" t="n">
        <v>44999</v>
      </c>
      <c r="N83" s="33" t="n">
        <f aca="false">H83*I83</f>
        <v>1399.98</v>
      </c>
      <c r="O83" s="31" t="n">
        <f aca="true">DATEDIF(B83,TODAY(),"d")</f>
        <v>801</v>
      </c>
      <c r="P83" s="32" t="n">
        <f aca="false">EOMONTH(B83,0)</f>
        <v>45504</v>
      </c>
      <c r="Q83" s="31" t="str">
        <f aca="false">IF(K83=Filter!$B$2,COUNTIF(K$2:K83,Filter!$B$2),"")</f>
        <v/>
      </c>
    </row>
    <row r="84" customFormat="false" ht="15" hidden="false" customHeight="false" outlineLevel="0" collapsed="false">
      <c r="A84" s="31" t="s">
        <v>272</v>
      </c>
      <c r="B84" s="32" t="n">
        <v>45504</v>
      </c>
      <c r="C84" s="31" t="s">
        <v>183</v>
      </c>
      <c r="D84" s="31" t="s">
        <v>184</v>
      </c>
      <c r="E84" s="31" t="s">
        <v>124</v>
      </c>
      <c r="F84" s="31" t="s">
        <v>125</v>
      </c>
      <c r="G84" s="31" t="s">
        <v>82</v>
      </c>
      <c r="H84" s="31" t="n">
        <v>4</v>
      </c>
      <c r="I84" s="33" t="n">
        <v>899.99</v>
      </c>
      <c r="J84" s="31" t="s">
        <v>120</v>
      </c>
      <c r="K84" s="31" t="s">
        <v>98</v>
      </c>
      <c r="L84" s="31" t="s">
        <v>99</v>
      </c>
      <c r="M84" s="32" t="n">
        <v>44523</v>
      </c>
      <c r="N84" s="33" t="n">
        <f aca="false">H84*I84</f>
        <v>3599.96</v>
      </c>
      <c r="O84" s="31" t="n">
        <f aca="true">DATEDIF(B84,TODAY(),"d")</f>
        <v>800</v>
      </c>
      <c r="P84" s="32" t="n">
        <f aca="false">EOMONTH(B84,0)</f>
        <v>45504</v>
      </c>
      <c r="Q84" s="31" t="str">
        <f aca="false">IF(K84=Filter!$B$2,COUNTIF(K$2:K84,Filter!$B$2),"")</f>
        <v/>
      </c>
    </row>
    <row r="85" customFormat="false" ht="15" hidden="false" customHeight="false" outlineLevel="0" collapsed="false">
      <c r="A85" s="31" t="s">
        <v>273</v>
      </c>
      <c r="B85" s="32" t="n">
        <v>45509</v>
      </c>
      <c r="C85" s="31" t="s">
        <v>274</v>
      </c>
      <c r="D85" s="31" t="s">
        <v>275</v>
      </c>
      <c r="E85" s="31" t="s">
        <v>107</v>
      </c>
      <c r="F85" s="31" t="s">
        <v>108</v>
      </c>
      <c r="G85" s="31" t="s">
        <v>109</v>
      </c>
      <c r="H85" s="31" t="n">
        <v>2</v>
      </c>
      <c r="I85" s="33" t="n">
        <v>149.99</v>
      </c>
      <c r="J85" s="31" t="s">
        <v>89</v>
      </c>
      <c r="K85" s="31" t="s">
        <v>113</v>
      </c>
      <c r="L85" s="31" t="s">
        <v>85</v>
      </c>
      <c r="M85" s="32" t="n">
        <v>44542</v>
      </c>
      <c r="N85" s="33" t="n">
        <f aca="false">H85*I85</f>
        <v>299.98</v>
      </c>
      <c r="O85" s="31" t="n">
        <f aca="true">DATEDIF(B85,TODAY(),"d")</f>
        <v>795</v>
      </c>
      <c r="P85" s="32" t="n">
        <f aca="false">EOMONTH(B85,0)</f>
        <v>45535</v>
      </c>
      <c r="Q85" s="31" t="n">
        <f aca="false">IF(K85=Filter!$B$2,COUNTIF(K$2:K85,Filter!$B$2),"")</f>
        <v>18</v>
      </c>
    </row>
    <row r="86" customFormat="false" ht="15" hidden="false" customHeight="false" outlineLevel="0" collapsed="false">
      <c r="A86" s="31" t="s">
        <v>276</v>
      </c>
      <c r="B86" s="32" t="n">
        <v>45510</v>
      </c>
      <c r="C86" s="31" t="s">
        <v>165</v>
      </c>
      <c r="D86" s="31" t="s">
        <v>166</v>
      </c>
      <c r="E86" s="31" t="s">
        <v>107</v>
      </c>
      <c r="F86" s="31" t="s">
        <v>108</v>
      </c>
      <c r="G86" s="31" t="s">
        <v>109</v>
      </c>
      <c r="H86" s="31" t="n">
        <v>2</v>
      </c>
      <c r="I86" s="33" t="n">
        <v>149.99</v>
      </c>
      <c r="J86" s="31" t="s">
        <v>120</v>
      </c>
      <c r="K86" s="31" t="s">
        <v>126</v>
      </c>
      <c r="L86" s="31" t="s">
        <v>99</v>
      </c>
      <c r="M86" s="32" t="n">
        <v>44667</v>
      </c>
      <c r="N86" s="33" t="n">
        <f aca="false">H86*I86</f>
        <v>299.98</v>
      </c>
      <c r="O86" s="31" t="n">
        <f aca="true">DATEDIF(B86,TODAY(),"d")</f>
        <v>794</v>
      </c>
      <c r="P86" s="32" t="n">
        <f aca="false">EOMONTH(B86,0)</f>
        <v>45535</v>
      </c>
      <c r="Q86" s="31" t="str">
        <f aca="false">IF(K86=Filter!$B$2,COUNTIF(K$2:K86,Filter!$B$2),"")</f>
        <v/>
      </c>
    </row>
    <row r="87" customFormat="false" ht="15" hidden="false" customHeight="false" outlineLevel="0" collapsed="false">
      <c r="A87" s="31" t="s">
        <v>277</v>
      </c>
      <c r="B87" s="32" t="n">
        <v>45513</v>
      </c>
      <c r="C87" s="31" t="s">
        <v>152</v>
      </c>
      <c r="D87" s="31" t="s">
        <v>153</v>
      </c>
      <c r="E87" s="31" t="s">
        <v>180</v>
      </c>
      <c r="F87" s="31" t="s">
        <v>181</v>
      </c>
      <c r="G87" s="31" t="s">
        <v>82</v>
      </c>
      <c r="H87" s="31" t="n">
        <v>1</v>
      </c>
      <c r="I87" s="33" t="n">
        <v>89.99</v>
      </c>
      <c r="J87" s="31" t="s">
        <v>89</v>
      </c>
      <c r="K87" s="31" t="s">
        <v>103</v>
      </c>
      <c r="L87" s="31" t="s">
        <v>99</v>
      </c>
      <c r="M87" s="32" t="n">
        <v>45393</v>
      </c>
      <c r="N87" s="33" t="n">
        <f aca="false">H87*I87</f>
        <v>89.99</v>
      </c>
      <c r="O87" s="31" t="n">
        <f aca="true">DATEDIF(B87,TODAY(),"d")</f>
        <v>791</v>
      </c>
      <c r="P87" s="32" t="n">
        <f aca="false">EOMONTH(B87,0)</f>
        <v>45535</v>
      </c>
      <c r="Q87" s="31" t="str">
        <f aca="false">IF(K87=Filter!$B$2,COUNTIF(K$2:K87,Filter!$B$2),"")</f>
        <v/>
      </c>
    </row>
    <row r="88" customFormat="false" ht="15" hidden="false" customHeight="false" outlineLevel="0" collapsed="false">
      <c r="A88" s="31" t="s">
        <v>278</v>
      </c>
      <c r="B88" s="32" t="n">
        <v>45515</v>
      </c>
      <c r="C88" s="31" t="s">
        <v>149</v>
      </c>
      <c r="D88" s="31" t="s">
        <v>150</v>
      </c>
      <c r="E88" s="31" t="s">
        <v>168</v>
      </c>
      <c r="F88" s="31" t="s">
        <v>169</v>
      </c>
      <c r="G88" s="31" t="s">
        <v>109</v>
      </c>
      <c r="H88" s="31" t="n">
        <v>5</v>
      </c>
      <c r="I88" s="33" t="n">
        <v>299.99</v>
      </c>
      <c r="J88" s="31" t="s">
        <v>89</v>
      </c>
      <c r="K88" s="31" t="s">
        <v>103</v>
      </c>
      <c r="L88" s="31" t="s">
        <v>85</v>
      </c>
      <c r="M88" s="32" t="n">
        <v>44965</v>
      </c>
      <c r="N88" s="33" t="n">
        <f aca="false">H88*I88</f>
        <v>1499.95</v>
      </c>
      <c r="O88" s="31" t="n">
        <f aca="true">DATEDIF(B88,TODAY(),"d")</f>
        <v>789</v>
      </c>
      <c r="P88" s="32" t="n">
        <f aca="false">EOMONTH(B88,0)</f>
        <v>45535</v>
      </c>
      <c r="Q88" s="31" t="str">
        <f aca="false">IF(K88=Filter!$B$2,COUNTIF(K$2:K88,Filter!$B$2),"")</f>
        <v/>
      </c>
    </row>
    <row r="89" customFormat="false" ht="15" hidden="false" customHeight="false" outlineLevel="0" collapsed="false">
      <c r="A89" s="31" t="s">
        <v>279</v>
      </c>
      <c r="B89" s="32" t="n">
        <v>45517</v>
      </c>
      <c r="C89" s="31" t="s">
        <v>245</v>
      </c>
      <c r="D89" s="31" t="s">
        <v>246</v>
      </c>
      <c r="E89" s="31" t="s">
        <v>115</v>
      </c>
      <c r="F89" s="31" t="s">
        <v>116</v>
      </c>
      <c r="G89" s="31" t="s">
        <v>82</v>
      </c>
      <c r="H89" s="31" t="n">
        <v>4</v>
      </c>
      <c r="I89" s="33" t="n">
        <v>149.99</v>
      </c>
      <c r="J89" s="31" t="s">
        <v>120</v>
      </c>
      <c r="K89" s="31" t="s">
        <v>98</v>
      </c>
      <c r="L89" s="31" t="s">
        <v>90</v>
      </c>
      <c r="M89" s="32" t="n">
        <v>44820</v>
      </c>
      <c r="N89" s="33" t="n">
        <f aca="false">H89*I89</f>
        <v>599.96</v>
      </c>
      <c r="O89" s="31" t="n">
        <f aca="true">DATEDIF(B89,TODAY(),"d")</f>
        <v>787</v>
      </c>
      <c r="P89" s="32" t="n">
        <f aca="false">EOMONTH(B89,0)</f>
        <v>45535</v>
      </c>
      <c r="Q89" s="31" t="str">
        <f aca="false">IF(K89=Filter!$B$2,COUNTIF(K$2:K89,Filter!$B$2),"")</f>
        <v/>
      </c>
    </row>
    <row r="90" customFormat="false" ht="15" hidden="false" customHeight="false" outlineLevel="0" collapsed="false">
      <c r="A90" s="31" t="s">
        <v>280</v>
      </c>
      <c r="B90" s="32" t="n">
        <v>45517</v>
      </c>
      <c r="C90" s="31" t="s">
        <v>248</v>
      </c>
      <c r="D90" s="31" t="s">
        <v>249</v>
      </c>
      <c r="E90" s="31" t="s">
        <v>80</v>
      </c>
      <c r="F90" s="31" t="s">
        <v>81</v>
      </c>
      <c r="G90" s="31" t="s">
        <v>82</v>
      </c>
      <c r="H90" s="31" t="n">
        <v>5</v>
      </c>
      <c r="I90" s="33" t="n">
        <v>249.99</v>
      </c>
      <c r="J90" s="31" t="s">
        <v>97</v>
      </c>
      <c r="K90" s="31" t="s">
        <v>126</v>
      </c>
      <c r="L90" s="31" t="s">
        <v>90</v>
      </c>
      <c r="M90" s="32" t="n">
        <v>44782</v>
      </c>
      <c r="N90" s="33" t="n">
        <f aca="false">H90*I90</f>
        <v>1249.95</v>
      </c>
      <c r="O90" s="31" t="n">
        <f aca="true">DATEDIF(B90,TODAY(),"d")</f>
        <v>787</v>
      </c>
      <c r="P90" s="32" t="n">
        <f aca="false">EOMONTH(B90,0)</f>
        <v>45535</v>
      </c>
      <c r="Q90" s="31" t="str">
        <f aca="false">IF(K90=Filter!$B$2,COUNTIF(K$2:K90,Filter!$B$2),"")</f>
        <v/>
      </c>
    </row>
    <row r="91" customFormat="false" ht="15" hidden="false" customHeight="false" outlineLevel="0" collapsed="false">
      <c r="A91" s="31" t="s">
        <v>281</v>
      </c>
      <c r="B91" s="32" t="n">
        <v>45517</v>
      </c>
      <c r="C91" s="31" t="s">
        <v>128</v>
      </c>
      <c r="D91" s="31" t="s">
        <v>129</v>
      </c>
      <c r="E91" s="31" t="s">
        <v>80</v>
      </c>
      <c r="F91" s="31" t="s">
        <v>81</v>
      </c>
      <c r="G91" s="31" t="s">
        <v>82</v>
      </c>
      <c r="H91" s="31" t="n">
        <v>3</v>
      </c>
      <c r="I91" s="33" t="n">
        <v>249.99</v>
      </c>
      <c r="J91" s="31" t="s">
        <v>97</v>
      </c>
      <c r="K91" s="31" t="s">
        <v>103</v>
      </c>
      <c r="L91" s="31" t="s">
        <v>99</v>
      </c>
      <c r="M91" s="32" t="n">
        <v>44465</v>
      </c>
      <c r="N91" s="33" t="n">
        <f aca="false">H91*I91</f>
        <v>749.97</v>
      </c>
      <c r="O91" s="31" t="n">
        <f aca="true">DATEDIF(B91,TODAY(),"d")</f>
        <v>787</v>
      </c>
      <c r="P91" s="32" t="n">
        <f aca="false">EOMONTH(B91,0)</f>
        <v>45535</v>
      </c>
      <c r="Q91" s="31" t="str">
        <f aca="false">IF(K91=Filter!$B$2,COUNTIF(K$2:K91,Filter!$B$2),"")</f>
        <v/>
      </c>
    </row>
    <row r="92" customFormat="false" ht="15" hidden="false" customHeight="false" outlineLevel="0" collapsed="false">
      <c r="A92" s="31" t="s">
        <v>282</v>
      </c>
      <c r="B92" s="32" t="n">
        <v>45517</v>
      </c>
      <c r="C92" s="31" t="s">
        <v>101</v>
      </c>
      <c r="D92" s="31" t="s">
        <v>102</v>
      </c>
      <c r="E92" s="31" t="s">
        <v>189</v>
      </c>
      <c r="F92" s="31" t="s">
        <v>190</v>
      </c>
      <c r="G92" s="31" t="s">
        <v>109</v>
      </c>
      <c r="H92" s="31" t="n">
        <v>4</v>
      </c>
      <c r="I92" s="33" t="n">
        <v>199.99</v>
      </c>
      <c r="J92" s="31" t="s">
        <v>83</v>
      </c>
      <c r="K92" s="31" t="s">
        <v>103</v>
      </c>
      <c r="L92" s="31" t="s">
        <v>99</v>
      </c>
      <c r="M92" s="32" t="n">
        <v>44458</v>
      </c>
      <c r="N92" s="33" t="n">
        <f aca="false">H92*I92</f>
        <v>799.96</v>
      </c>
      <c r="O92" s="31" t="n">
        <f aca="true">DATEDIF(B92,TODAY(),"d")</f>
        <v>787</v>
      </c>
      <c r="P92" s="32" t="n">
        <f aca="false">EOMONTH(B92,0)</f>
        <v>45535</v>
      </c>
      <c r="Q92" s="31" t="str">
        <f aca="false">IF(K92=Filter!$B$2,COUNTIF(K$2:K92,Filter!$B$2),"")</f>
        <v/>
      </c>
    </row>
    <row r="93" customFormat="false" ht="15" hidden="false" customHeight="false" outlineLevel="0" collapsed="false">
      <c r="A93" s="31" t="s">
        <v>283</v>
      </c>
      <c r="B93" s="32" t="n">
        <v>45519</v>
      </c>
      <c r="C93" s="31" t="s">
        <v>221</v>
      </c>
      <c r="D93" s="31" t="s">
        <v>222</v>
      </c>
      <c r="E93" s="31" t="s">
        <v>189</v>
      </c>
      <c r="F93" s="31" t="s">
        <v>190</v>
      </c>
      <c r="G93" s="31" t="s">
        <v>109</v>
      </c>
      <c r="H93" s="31" t="n">
        <v>5</v>
      </c>
      <c r="I93" s="33" t="n">
        <v>199.99</v>
      </c>
      <c r="J93" s="31" t="s">
        <v>83</v>
      </c>
      <c r="K93" s="31" t="s">
        <v>103</v>
      </c>
      <c r="L93" s="31" t="s">
        <v>90</v>
      </c>
      <c r="M93" s="32" t="n">
        <v>44991</v>
      </c>
      <c r="N93" s="33" t="n">
        <f aca="false">H93*I93</f>
        <v>999.95</v>
      </c>
      <c r="O93" s="31" t="n">
        <f aca="true">DATEDIF(B93,TODAY(),"d")</f>
        <v>785</v>
      </c>
      <c r="P93" s="32" t="n">
        <f aca="false">EOMONTH(B93,0)</f>
        <v>45535</v>
      </c>
      <c r="Q93" s="31" t="str">
        <f aca="false">IF(K93=Filter!$B$2,COUNTIF(K$2:K93,Filter!$B$2),"")</f>
        <v/>
      </c>
    </row>
    <row r="94" customFormat="false" ht="15" hidden="false" customHeight="false" outlineLevel="0" collapsed="false">
      <c r="A94" s="31" t="s">
        <v>284</v>
      </c>
      <c r="B94" s="32" t="n">
        <v>45522</v>
      </c>
      <c r="C94" s="31" t="s">
        <v>149</v>
      </c>
      <c r="D94" s="31" t="s">
        <v>150</v>
      </c>
      <c r="E94" s="31" t="s">
        <v>180</v>
      </c>
      <c r="F94" s="31" t="s">
        <v>181</v>
      </c>
      <c r="G94" s="31" t="s">
        <v>82</v>
      </c>
      <c r="H94" s="31" t="n">
        <v>2</v>
      </c>
      <c r="I94" s="33" t="n">
        <v>89.99</v>
      </c>
      <c r="J94" s="31" t="s">
        <v>83</v>
      </c>
      <c r="K94" s="31" t="s">
        <v>126</v>
      </c>
      <c r="L94" s="31" t="s">
        <v>90</v>
      </c>
      <c r="M94" s="32" t="n">
        <v>44972</v>
      </c>
      <c r="N94" s="33" t="n">
        <f aca="false">H94*I94</f>
        <v>179.98</v>
      </c>
      <c r="O94" s="31" t="n">
        <f aca="true">DATEDIF(B94,TODAY(),"d")</f>
        <v>782</v>
      </c>
      <c r="P94" s="32" t="n">
        <f aca="false">EOMONTH(B94,0)</f>
        <v>45535</v>
      </c>
      <c r="Q94" s="31" t="str">
        <f aca="false">IF(K94=Filter!$B$2,COUNTIF(K$2:K94,Filter!$B$2),"")</f>
        <v/>
      </c>
    </row>
    <row r="95" customFormat="false" ht="15" hidden="false" customHeight="false" outlineLevel="0" collapsed="false">
      <c r="A95" s="31" t="s">
        <v>285</v>
      </c>
      <c r="B95" s="32" t="n">
        <v>45523</v>
      </c>
      <c r="C95" s="31" t="s">
        <v>259</v>
      </c>
      <c r="D95" s="31" t="s">
        <v>260</v>
      </c>
      <c r="E95" s="31" t="s">
        <v>124</v>
      </c>
      <c r="F95" s="31" t="s">
        <v>125</v>
      </c>
      <c r="G95" s="31" t="s">
        <v>82</v>
      </c>
      <c r="H95" s="31" t="n">
        <v>5</v>
      </c>
      <c r="I95" s="33" t="n">
        <v>899.99</v>
      </c>
      <c r="J95" s="31" t="s">
        <v>120</v>
      </c>
      <c r="K95" s="31" t="s">
        <v>126</v>
      </c>
      <c r="L95" s="31" t="s">
        <v>85</v>
      </c>
      <c r="M95" s="32" t="n">
        <v>44526</v>
      </c>
      <c r="N95" s="33" t="n">
        <f aca="false">H95*I95</f>
        <v>4499.95</v>
      </c>
      <c r="O95" s="31" t="n">
        <f aca="true">DATEDIF(B95,TODAY(),"d")</f>
        <v>781</v>
      </c>
      <c r="P95" s="32" t="n">
        <f aca="false">EOMONTH(B95,0)</f>
        <v>45535</v>
      </c>
      <c r="Q95" s="31" t="str">
        <f aca="false">IF(K95=Filter!$B$2,COUNTIF(K$2:K95,Filter!$B$2),"")</f>
        <v/>
      </c>
    </row>
    <row r="96" customFormat="false" ht="15" hidden="false" customHeight="false" outlineLevel="0" collapsed="false">
      <c r="A96" s="31" t="s">
        <v>286</v>
      </c>
      <c r="B96" s="32" t="n">
        <v>45523</v>
      </c>
      <c r="C96" s="31" t="s">
        <v>171</v>
      </c>
      <c r="D96" s="31" t="s">
        <v>172</v>
      </c>
      <c r="E96" s="31" t="s">
        <v>115</v>
      </c>
      <c r="F96" s="31" t="s">
        <v>116</v>
      </c>
      <c r="G96" s="31" t="s">
        <v>82</v>
      </c>
      <c r="H96" s="31" t="n">
        <v>3</v>
      </c>
      <c r="I96" s="33" t="n">
        <v>149.99</v>
      </c>
      <c r="J96" s="31" t="s">
        <v>97</v>
      </c>
      <c r="K96" s="31" t="s">
        <v>126</v>
      </c>
      <c r="L96" s="31" t="s">
        <v>85</v>
      </c>
      <c r="M96" s="32" t="n">
        <v>44574</v>
      </c>
      <c r="N96" s="33" t="n">
        <f aca="false">H96*I96</f>
        <v>449.97</v>
      </c>
      <c r="O96" s="31" t="n">
        <f aca="true">DATEDIF(B96,TODAY(),"d")</f>
        <v>781</v>
      </c>
      <c r="P96" s="32" t="n">
        <f aca="false">EOMONTH(B96,0)</f>
        <v>45535</v>
      </c>
      <c r="Q96" s="31" t="str">
        <f aca="false">IF(K96=Filter!$B$2,COUNTIF(K$2:K96,Filter!$B$2),"")</f>
        <v/>
      </c>
    </row>
    <row r="97" customFormat="false" ht="15" hidden="false" customHeight="false" outlineLevel="0" collapsed="false">
      <c r="A97" s="31" t="s">
        <v>287</v>
      </c>
      <c r="B97" s="32" t="n">
        <v>45526</v>
      </c>
      <c r="C97" s="31" t="s">
        <v>165</v>
      </c>
      <c r="D97" s="31" t="s">
        <v>166</v>
      </c>
      <c r="E97" s="31" t="s">
        <v>107</v>
      </c>
      <c r="F97" s="31" t="s">
        <v>108</v>
      </c>
      <c r="G97" s="31" t="s">
        <v>109</v>
      </c>
      <c r="H97" s="31" t="n">
        <v>5</v>
      </c>
      <c r="I97" s="33" t="n">
        <v>149.99</v>
      </c>
      <c r="J97" s="31" t="s">
        <v>89</v>
      </c>
      <c r="K97" s="31" t="s">
        <v>84</v>
      </c>
      <c r="L97" s="31" t="s">
        <v>85</v>
      </c>
      <c r="M97" s="32" t="n">
        <v>45310</v>
      </c>
      <c r="N97" s="33" t="n">
        <f aca="false">H97*I97</f>
        <v>749.95</v>
      </c>
      <c r="O97" s="31" t="n">
        <f aca="true">DATEDIF(B97,TODAY(),"d")</f>
        <v>778</v>
      </c>
      <c r="P97" s="32" t="n">
        <f aca="false">EOMONTH(B97,0)</f>
        <v>45535</v>
      </c>
      <c r="Q97" s="31" t="str">
        <f aca="false">IF(K97=Filter!$B$2,COUNTIF(K$2:K97,Filter!$B$2),"")</f>
        <v/>
      </c>
    </row>
    <row r="98" customFormat="false" ht="15" hidden="false" customHeight="false" outlineLevel="0" collapsed="false">
      <c r="A98" s="31" t="s">
        <v>288</v>
      </c>
      <c r="B98" s="32" t="n">
        <v>45528</v>
      </c>
      <c r="C98" s="31" t="s">
        <v>289</v>
      </c>
      <c r="D98" s="31" t="s">
        <v>290</v>
      </c>
      <c r="E98" s="31" t="s">
        <v>177</v>
      </c>
      <c r="F98" s="31" t="s">
        <v>178</v>
      </c>
      <c r="G98" s="31" t="s">
        <v>96</v>
      </c>
      <c r="H98" s="31" t="n">
        <v>3</v>
      </c>
      <c r="I98" s="33" t="n">
        <v>79.99</v>
      </c>
      <c r="J98" s="31" t="s">
        <v>83</v>
      </c>
      <c r="K98" s="31" t="s">
        <v>84</v>
      </c>
      <c r="L98" s="31" t="s">
        <v>90</v>
      </c>
      <c r="M98" s="32" t="n">
        <v>44779</v>
      </c>
      <c r="N98" s="33" t="n">
        <f aca="false">H98*I98</f>
        <v>239.97</v>
      </c>
      <c r="O98" s="31" t="n">
        <f aca="true">DATEDIF(B98,TODAY(),"d")</f>
        <v>776</v>
      </c>
      <c r="P98" s="32" t="n">
        <f aca="false">EOMONTH(B98,0)</f>
        <v>45535</v>
      </c>
      <c r="Q98" s="31" t="str">
        <f aca="false">IF(K98=Filter!$B$2,COUNTIF(K$2:K98,Filter!$B$2),"")</f>
        <v/>
      </c>
    </row>
    <row r="99" customFormat="false" ht="15" hidden="false" customHeight="false" outlineLevel="0" collapsed="false">
      <c r="A99" s="31" t="s">
        <v>291</v>
      </c>
      <c r="B99" s="32" t="n">
        <v>45528</v>
      </c>
      <c r="C99" s="31" t="s">
        <v>207</v>
      </c>
      <c r="D99" s="31" t="s">
        <v>208</v>
      </c>
      <c r="E99" s="31" t="s">
        <v>80</v>
      </c>
      <c r="F99" s="31" t="s">
        <v>81</v>
      </c>
      <c r="G99" s="31" t="s">
        <v>82</v>
      </c>
      <c r="H99" s="31" t="n">
        <v>2</v>
      </c>
      <c r="I99" s="33" t="n">
        <v>249.99</v>
      </c>
      <c r="J99" s="31" t="s">
        <v>83</v>
      </c>
      <c r="K99" s="31" t="s">
        <v>98</v>
      </c>
      <c r="L99" s="31" t="s">
        <v>99</v>
      </c>
      <c r="M99" s="32" t="n">
        <v>44572</v>
      </c>
      <c r="N99" s="33" t="n">
        <f aca="false">H99*I99</f>
        <v>499.98</v>
      </c>
      <c r="O99" s="31" t="n">
        <f aca="true">DATEDIF(B99,TODAY(),"d")</f>
        <v>776</v>
      </c>
      <c r="P99" s="32" t="n">
        <f aca="false">EOMONTH(B99,0)</f>
        <v>45535</v>
      </c>
      <c r="Q99" s="31" t="str">
        <f aca="false">IF(K99=Filter!$B$2,COUNTIF(K$2:K99,Filter!$B$2),"")</f>
        <v/>
      </c>
    </row>
    <row r="100" customFormat="false" ht="15" hidden="false" customHeight="false" outlineLevel="0" collapsed="false">
      <c r="A100" s="31" t="s">
        <v>292</v>
      </c>
      <c r="B100" s="32" t="n">
        <v>45532</v>
      </c>
      <c r="C100" s="31" t="s">
        <v>259</v>
      </c>
      <c r="D100" s="31" t="s">
        <v>260</v>
      </c>
      <c r="E100" s="31" t="s">
        <v>143</v>
      </c>
      <c r="F100" s="31" t="s">
        <v>144</v>
      </c>
      <c r="G100" s="31" t="s">
        <v>82</v>
      </c>
      <c r="H100" s="31" t="n">
        <v>1</v>
      </c>
      <c r="I100" s="33" t="n">
        <v>699.99</v>
      </c>
      <c r="J100" s="31" t="s">
        <v>83</v>
      </c>
      <c r="K100" s="31" t="s">
        <v>84</v>
      </c>
      <c r="L100" s="31" t="s">
        <v>90</v>
      </c>
      <c r="M100" s="32" t="n">
        <v>44497</v>
      </c>
      <c r="N100" s="33" t="n">
        <f aca="false">H100*I100</f>
        <v>699.99</v>
      </c>
      <c r="O100" s="31" t="n">
        <f aca="true">DATEDIF(B100,TODAY(),"d")</f>
        <v>772</v>
      </c>
      <c r="P100" s="32" t="n">
        <f aca="false">EOMONTH(B100,0)</f>
        <v>45535</v>
      </c>
      <c r="Q100" s="31" t="str">
        <f aca="false">IF(K100=Filter!$B$2,COUNTIF(K$2:K100,Filter!$B$2),"")</f>
        <v/>
      </c>
    </row>
    <row r="101" customFormat="false" ht="15" hidden="false" customHeight="false" outlineLevel="0" collapsed="false">
      <c r="A101" s="31" t="s">
        <v>293</v>
      </c>
      <c r="B101" s="32" t="n">
        <v>45532</v>
      </c>
      <c r="C101" s="31" t="s">
        <v>294</v>
      </c>
      <c r="D101" s="31" t="s">
        <v>295</v>
      </c>
      <c r="E101" s="31" t="s">
        <v>115</v>
      </c>
      <c r="F101" s="31" t="s">
        <v>116</v>
      </c>
      <c r="G101" s="31" t="s">
        <v>82</v>
      </c>
      <c r="H101" s="31" t="n">
        <v>3</v>
      </c>
      <c r="I101" s="33" t="n">
        <v>149.99</v>
      </c>
      <c r="J101" s="31" t="s">
        <v>83</v>
      </c>
      <c r="K101" s="31" t="s">
        <v>113</v>
      </c>
      <c r="L101" s="31" t="s">
        <v>90</v>
      </c>
      <c r="M101" s="32" t="n">
        <v>45212</v>
      </c>
      <c r="N101" s="33" t="n">
        <f aca="false">H101*I101</f>
        <v>449.97</v>
      </c>
      <c r="O101" s="31" t="n">
        <f aca="true">DATEDIF(B101,TODAY(),"d")</f>
        <v>772</v>
      </c>
      <c r="P101" s="32" t="n">
        <f aca="false">EOMONTH(B101,0)</f>
        <v>45535</v>
      </c>
      <c r="Q101" s="31" t="n">
        <f aca="false">IF(K101=Filter!$B$2,COUNTIF(K$2:K101,Filter!$B$2),"")</f>
        <v>19</v>
      </c>
    </row>
    <row r="102" customFormat="false" ht="15" hidden="false" customHeight="false" outlineLevel="0" collapsed="false">
      <c r="A102" s="31" t="s">
        <v>296</v>
      </c>
      <c r="B102" s="32" t="n">
        <v>45534</v>
      </c>
      <c r="C102" s="31" t="s">
        <v>297</v>
      </c>
      <c r="D102" s="31" t="s">
        <v>298</v>
      </c>
      <c r="E102" s="31" t="s">
        <v>143</v>
      </c>
      <c r="F102" s="31" t="s">
        <v>144</v>
      </c>
      <c r="G102" s="31" t="s">
        <v>82</v>
      </c>
      <c r="H102" s="31" t="n">
        <v>2</v>
      </c>
      <c r="I102" s="33" t="n">
        <v>699.99</v>
      </c>
      <c r="J102" s="31" t="s">
        <v>89</v>
      </c>
      <c r="K102" s="31" t="s">
        <v>103</v>
      </c>
      <c r="L102" s="31" t="s">
        <v>90</v>
      </c>
      <c r="M102" s="32" t="n">
        <v>44421</v>
      </c>
      <c r="N102" s="33" t="n">
        <f aca="false">H102*I102</f>
        <v>1399.98</v>
      </c>
      <c r="O102" s="31" t="n">
        <f aca="true">DATEDIF(B102,TODAY(),"d")</f>
        <v>770</v>
      </c>
      <c r="P102" s="32" t="n">
        <f aca="false">EOMONTH(B102,0)</f>
        <v>45535</v>
      </c>
      <c r="Q102" s="31" t="str">
        <f aca="false">IF(K102=Filter!$B$2,COUNTIF(K$2:K102,Filter!$B$2),"")</f>
        <v/>
      </c>
    </row>
    <row r="103" customFormat="false" ht="15" hidden="false" customHeight="false" outlineLevel="0" collapsed="false">
      <c r="A103" s="31" t="s">
        <v>299</v>
      </c>
      <c r="B103" s="32" t="n">
        <v>45537</v>
      </c>
      <c r="C103" s="31" t="s">
        <v>294</v>
      </c>
      <c r="D103" s="31" t="s">
        <v>295</v>
      </c>
      <c r="E103" s="31" t="s">
        <v>80</v>
      </c>
      <c r="F103" s="31" t="s">
        <v>81</v>
      </c>
      <c r="G103" s="31" t="s">
        <v>82</v>
      </c>
      <c r="H103" s="31" t="n">
        <v>1</v>
      </c>
      <c r="I103" s="33" t="n">
        <v>249.99</v>
      </c>
      <c r="J103" s="31" t="s">
        <v>89</v>
      </c>
      <c r="K103" s="31" t="s">
        <v>113</v>
      </c>
      <c r="L103" s="31" t="s">
        <v>90</v>
      </c>
      <c r="M103" s="32" t="n">
        <v>44685</v>
      </c>
      <c r="N103" s="33" t="n">
        <f aca="false">H103*I103</f>
        <v>249.99</v>
      </c>
      <c r="O103" s="31" t="n">
        <f aca="true">DATEDIF(B103,TODAY(),"d")</f>
        <v>767</v>
      </c>
      <c r="P103" s="32" t="n">
        <f aca="false">EOMONTH(B103,0)</f>
        <v>45565</v>
      </c>
      <c r="Q103" s="31" t="n">
        <f aca="false">IF(K103=Filter!$B$2,COUNTIF(K$2:K103,Filter!$B$2),"")</f>
        <v>20</v>
      </c>
    </row>
    <row r="104" customFormat="false" ht="15" hidden="false" customHeight="false" outlineLevel="0" collapsed="false">
      <c r="A104" s="31" t="s">
        <v>300</v>
      </c>
      <c r="B104" s="32" t="n">
        <v>45537</v>
      </c>
      <c r="C104" s="31" t="s">
        <v>78</v>
      </c>
      <c r="D104" s="31" t="s">
        <v>79</v>
      </c>
      <c r="E104" s="31" t="s">
        <v>80</v>
      </c>
      <c r="F104" s="31" t="s">
        <v>81</v>
      </c>
      <c r="G104" s="31" t="s">
        <v>82</v>
      </c>
      <c r="H104" s="31" t="n">
        <v>1</v>
      </c>
      <c r="I104" s="33" t="n">
        <v>249.99</v>
      </c>
      <c r="J104" s="31" t="s">
        <v>120</v>
      </c>
      <c r="K104" s="31" t="s">
        <v>103</v>
      </c>
      <c r="L104" s="31" t="s">
        <v>90</v>
      </c>
      <c r="M104" s="32" t="n">
        <v>45332</v>
      </c>
      <c r="N104" s="33" t="n">
        <f aca="false">H104*I104</f>
        <v>249.99</v>
      </c>
      <c r="O104" s="31" t="n">
        <f aca="true">DATEDIF(B104,TODAY(),"d")</f>
        <v>767</v>
      </c>
      <c r="P104" s="32" t="n">
        <f aca="false">EOMONTH(B104,0)</f>
        <v>45565</v>
      </c>
      <c r="Q104" s="31" t="str">
        <f aca="false">IF(K104=Filter!$B$2,COUNTIF(K$2:K104,Filter!$B$2),"")</f>
        <v/>
      </c>
    </row>
    <row r="105" customFormat="false" ht="15" hidden="false" customHeight="false" outlineLevel="0" collapsed="false">
      <c r="A105" s="31" t="s">
        <v>301</v>
      </c>
      <c r="B105" s="32" t="n">
        <v>45538</v>
      </c>
      <c r="C105" s="31" t="s">
        <v>289</v>
      </c>
      <c r="D105" s="31" t="s">
        <v>290</v>
      </c>
      <c r="E105" s="31" t="s">
        <v>143</v>
      </c>
      <c r="F105" s="31" t="s">
        <v>144</v>
      </c>
      <c r="G105" s="31" t="s">
        <v>82</v>
      </c>
      <c r="H105" s="31" t="n">
        <v>2</v>
      </c>
      <c r="I105" s="33" t="n">
        <v>699.99</v>
      </c>
      <c r="J105" s="31" t="s">
        <v>120</v>
      </c>
      <c r="K105" s="31" t="s">
        <v>84</v>
      </c>
      <c r="L105" s="31" t="s">
        <v>90</v>
      </c>
      <c r="M105" s="32" t="n">
        <v>44870</v>
      </c>
      <c r="N105" s="33" t="n">
        <f aca="false">H105*I105</f>
        <v>1399.98</v>
      </c>
      <c r="O105" s="31" t="n">
        <f aca="true">DATEDIF(B105,TODAY(),"d")</f>
        <v>766</v>
      </c>
      <c r="P105" s="32" t="n">
        <f aca="false">EOMONTH(B105,0)</f>
        <v>45565</v>
      </c>
      <c r="Q105" s="31" t="str">
        <f aca="false">IF(K105=Filter!$B$2,COUNTIF(K$2:K105,Filter!$B$2),"")</f>
        <v/>
      </c>
    </row>
    <row r="106" customFormat="false" ht="15" hidden="false" customHeight="false" outlineLevel="0" collapsed="false">
      <c r="A106" s="31" t="s">
        <v>302</v>
      </c>
      <c r="B106" s="32" t="n">
        <v>45541</v>
      </c>
      <c r="C106" s="31" t="s">
        <v>201</v>
      </c>
      <c r="D106" s="31" t="s">
        <v>202</v>
      </c>
      <c r="E106" s="31" t="s">
        <v>94</v>
      </c>
      <c r="F106" s="31" t="s">
        <v>95</v>
      </c>
      <c r="G106" s="31" t="s">
        <v>96</v>
      </c>
      <c r="H106" s="31" t="n">
        <v>3</v>
      </c>
      <c r="I106" s="33" t="n">
        <v>59.99</v>
      </c>
      <c r="J106" s="31" t="s">
        <v>89</v>
      </c>
      <c r="K106" s="31" t="s">
        <v>84</v>
      </c>
      <c r="L106" s="31" t="s">
        <v>90</v>
      </c>
      <c r="M106" s="32" t="n">
        <v>44717</v>
      </c>
      <c r="N106" s="33" t="n">
        <f aca="false">H106*I106</f>
        <v>179.97</v>
      </c>
      <c r="O106" s="31" t="n">
        <f aca="true">DATEDIF(B106,TODAY(),"d")</f>
        <v>763</v>
      </c>
      <c r="P106" s="32" t="n">
        <f aca="false">EOMONTH(B106,0)</f>
        <v>45565</v>
      </c>
      <c r="Q106" s="31" t="str">
        <f aca="false">IF(K106=Filter!$B$2,COUNTIF(K$2:K106,Filter!$B$2),"")</f>
        <v/>
      </c>
    </row>
    <row r="107" customFormat="false" ht="15" hidden="false" customHeight="false" outlineLevel="0" collapsed="false">
      <c r="A107" s="31" t="s">
        <v>303</v>
      </c>
      <c r="B107" s="32" t="n">
        <v>45544</v>
      </c>
      <c r="C107" s="31" t="s">
        <v>195</v>
      </c>
      <c r="D107" s="31" t="s">
        <v>196</v>
      </c>
      <c r="E107" s="31" t="s">
        <v>94</v>
      </c>
      <c r="F107" s="31" t="s">
        <v>95</v>
      </c>
      <c r="G107" s="31" t="s">
        <v>96</v>
      </c>
      <c r="H107" s="31" t="n">
        <v>3</v>
      </c>
      <c r="I107" s="33" t="n">
        <v>59.99</v>
      </c>
      <c r="J107" s="31" t="s">
        <v>97</v>
      </c>
      <c r="K107" s="31" t="s">
        <v>126</v>
      </c>
      <c r="L107" s="31" t="s">
        <v>99</v>
      </c>
      <c r="M107" s="32" t="n">
        <v>44748</v>
      </c>
      <c r="N107" s="33" t="n">
        <f aca="false">H107*I107</f>
        <v>179.97</v>
      </c>
      <c r="O107" s="31" t="n">
        <f aca="true">DATEDIF(B107,TODAY(),"d")</f>
        <v>760</v>
      </c>
      <c r="P107" s="32" t="n">
        <f aca="false">EOMONTH(B107,0)</f>
        <v>45565</v>
      </c>
      <c r="Q107" s="31" t="str">
        <f aca="false">IF(K107=Filter!$B$2,COUNTIF(K$2:K107,Filter!$B$2),"")</f>
        <v/>
      </c>
    </row>
    <row r="108" customFormat="false" ht="15" hidden="false" customHeight="false" outlineLevel="0" collapsed="false">
      <c r="A108" s="31" t="s">
        <v>304</v>
      </c>
      <c r="B108" s="32" t="n">
        <v>45544</v>
      </c>
      <c r="C108" s="31" t="s">
        <v>204</v>
      </c>
      <c r="D108" s="31" t="s">
        <v>205</v>
      </c>
      <c r="E108" s="31" t="s">
        <v>177</v>
      </c>
      <c r="F108" s="31" t="s">
        <v>178</v>
      </c>
      <c r="G108" s="31" t="s">
        <v>96</v>
      </c>
      <c r="H108" s="31" t="n">
        <v>4</v>
      </c>
      <c r="I108" s="33" t="n">
        <v>79.99</v>
      </c>
      <c r="J108" s="31" t="s">
        <v>83</v>
      </c>
      <c r="K108" s="31" t="s">
        <v>103</v>
      </c>
      <c r="L108" s="31" t="s">
        <v>85</v>
      </c>
      <c r="M108" s="32" t="n">
        <v>44530</v>
      </c>
      <c r="N108" s="33" t="n">
        <f aca="false">H108*I108</f>
        <v>319.96</v>
      </c>
      <c r="O108" s="31" t="n">
        <f aca="true">DATEDIF(B108,TODAY(),"d")</f>
        <v>760</v>
      </c>
      <c r="P108" s="32" t="n">
        <f aca="false">EOMONTH(B108,0)</f>
        <v>45565</v>
      </c>
      <c r="Q108" s="31" t="str">
        <f aca="false">IF(K108=Filter!$B$2,COUNTIF(K$2:K108,Filter!$B$2),"")</f>
        <v/>
      </c>
    </row>
    <row r="109" customFormat="false" ht="15" hidden="false" customHeight="false" outlineLevel="0" collapsed="false">
      <c r="A109" s="31" t="s">
        <v>305</v>
      </c>
      <c r="B109" s="32" t="n">
        <v>45545</v>
      </c>
      <c r="C109" s="31" t="s">
        <v>118</v>
      </c>
      <c r="D109" s="31" t="s">
        <v>119</v>
      </c>
      <c r="E109" s="31" t="s">
        <v>177</v>
      </c>
      <c r="F109" s="31" t="s">
        <v>178</v>
      </c>
      <c r="G109" s="31" t="s">
        <v>96</v>
      </c>
      <c r="H109" s="31" t="n">
        <v>1</v>
      </c>
      <c r="I109" s="33" t="n">
        <v>79.99</v>
      </c>
      <c r="J109" s="31" t="s">
        <v>83</v>
      </c>
      <c r="K109" s="31" t="s">
        <v>113</v>
      </c>
      <c r="L109" s="31" t="s">
        <v>85</v>
      </c>
      <c r="M109" s="32" t="n">
        <v>44693</v>
      </c>
      <c r="N109" s="33" t="n">
        <f aca="false">H109*I109</f>
        <v>79.99</v>
      </c>
      <c r="O109" s="31" t="n">
        <f aca="true">DATEDIF(B109,TODAY(),"d")</f>
        <v>759</v>
      </c>
      <c r="P109" s="32" t="n">
        <f aca="false">EOMONTH(B109,0)</f>
        <v>45565</v>
      </c>
      <c r="Q109" s="31" t="n">
        <f aca="false">IF(K109=Filter!$B$2,COUNTIF(K$2:K109,Filter!$B$2),"")</f>
        <v>21</v>
      </c>
    </row>
    <row r="110" customFormat="false" ht="15" hidden="false" customHeight="false" outlineLevel="0" collapsed="false">
      <c r="A110" s="31" t="s">
        <v>306</v>
      </c>
      <c r="B110" s="32" t="n">
        <v>45547</v>
      </c>
      <c r="C110" s="31" t="s">
        <v>111</v>
      </c>
      <c r="D110" s="31" t="s">
        <v>112</v>
      </c>
      <c r="E110" s="31" t="s">
        <v>168</v>
      </c>
      <c r="F110" s="31" t="s">
        <v>169</v>
      </c>
      <c r="G110" s="31" t="s">
        <v>109</v>
      </c>
      <c r="H110" s="31" t="n">
        <v>3</v>
      </c>
      <c r="I110" s="33" t="n">
        <v>299.99</v>
      </c>
      <c r="J110" s="31" t="s">
        <v>89</v>
      </c>
      <c r="K110" s="31" t="s">
        <v>84</v>
      </c>
      <c r="L110" s="31" t="s">
        <v>90</v>
      </c>
      <c r="M110" s="32" t="n">
        <v>44494</v>
      </c>
      <c r="N110" s="33" t="n">
        <f aca="false">H110*I110</f>
        <v>899.97</v>
      </c>
      <c r="O110" s="31" t="n">
        <f aca="true">DATEDIF(B110,TODAY(),"d")</f>
        <v>757</v>
      </c>
      <c r="P110" s="32" t="n">
        <f aca="false">EOMONTH(B110,0)</f>
        <v>45565</v>
      </c>
      <c r="Q110" s="31" t="str">
        <f aca="false">IF(K110=Filter!$B$2,COUNTIF(K$2:K110,Filter!$B$2),"")</f>
        <v/>
      </c>
    </row>
    <row r="111" customFormat="false" ht="15" hidden="false" customHeight="false" outlineLevel="0" collapsed="false">
      <c r="A111" s="31" t="s">
        <v>307</v>
      </c>
      <c r="B111" s="32" t="n">
        <v>45548</v>
      </c>
      <c r="C111" s="31" t="s">
        <v>101</v>
      </c>
      <c r="D111" s="31" t="s">
        <v>102</v>
      </c>
      <c r="E111" s="31" t="s">
        <v>180</v>
      </c>
      <c r="F111" s="31" t="s">
        <v>181</v>
      </c>
      <c r="G111" s="31" t="s">
        <v>82</v>
      </c>
      <c r="H111" s="31" t="n">
        <v>2</v>
      </c>
      <c r="I111" s="33" t="n">
        <v>89.99</v>
      </c>
      <c r="J111" s="31" t="s">
        <v>89</v>
      </c>
      <c r="K111" s="31" t="s">
        <v>98</v>
      </c>
      <c r="L111" s="31" t="s">
        <v>90</v>
      </c>
      <c r="M111" s="32" t="n">
        <v>44641</v>
      </c>
      <c r="N111" s="33" t="n">
        <f aca="false">H111*I111</f>
        <v>179.98</v>
      </c>
      <c r="O111" s="31" t="n">
        <f aca="true">DATEDIF(B111,TODAY(),"d")</f>
        <v>756</v>
      </c>
      <c r="P111" s="32" t="n">
        <f aca="false">EOMONTH(B111,0)</f>
        <v>45565</v>
      </c>
      <c r="Q111" s="31" t="str">
        <f aca="false">IF(K111=Filter!$B$2,COUNTIF(K$2:K111,Filter!$B$2),"")</f>
        <v/>
      </c>
    </row>
    <row r="112" customFormat="false" ht="15" hidden="false" customHeight="false" outlineLevel="0" collapsed="false">
      <c r="A112" s="31" t="s">
        <v>308</v>
      </c>
      <c r="B112" s="32" t="n">
        <v>45550</v>
      </c>
      <c r="C112" s="31" t="s">
        <v>309</v>
      </c>
      <c r="D112" s="31" t="s">
        <v>310</v>
      </c>
      <c r="E112" s="31" t="s">
        <v>115</v>
      </c>
      <c r="F112" s="31" t="s">
        <v>116</v>
      </c>
      <c r="G112" s="31" t="s">
        <v>82</v>
      </c>
      <c r="H112" s="31" t="n">
        <v>4</v>
      </c>
      <c r="I112" s="33" t="n">
        <v>149.99</v>
      </c>
      <c r="J112" s="31" t="s">
        <v>83</v>
      </c>
      <c r="K112" s="31" t="s">
        <v>103</v>
      </c>
      <c r="L112" s="31" t="s">
        <v>85</v>
      </c>
      <c r="M112" s="32" t="n">
        <v>44909</v>
      </c>
      <c r="N112" s="33" t="n">
        <f aca="false">H112*I112</f>
        <v>599.96</v>
      </c>
      <c r="O112" s="31" t="n">
        <f aca="true">DATEDIF(B112,TODAY(),"d")</f>
        <v>754</v>
      </c>
      <c r="P112" s="32" t="n">
        <f aca="false">EOMONTH(B112,0)</f>
        <v>45565</v>
      </c>
      <c r="Q112" s="31" t="str">
        <f aca="false">IF(K112=Filter!$B$2,COUNTIF(K$2:K112,Filter!$B$2),"")</f>
        <v/>
      </c>
    </row>
    <row r="113" customFormat="false" ht="15" hidden="false" customHeight="false" outlineLevel="0" collapsed="false">
      <c r="A113" s="31" t="s">
        <v>311</v>
      </c>
      <c r="B113" s="32" t="n">
        <v>45551</v>
      </c>
      <c r="C113" s="31" t="s">
        <v>128</v>
      </c>
      <c r="D113" s="31" t="s">
        <v>129</v>
      </c>
      <c r="E113" s="31" t="s">
        <v>80</v>
      </c>
      <c r="F113" s="31" t="s">
        <v>81</v>
      </c>
      <c r="G113" s="31" t="s">
        <v>82</v>
      </c>
      <c r="H113" s="31" t="n">
        <v>2</v>
      </c>
      <c r="I113" s="33" t="n">
        <v>249.99</v>
      </c>
      <c r="J113" s="31" t="s">
        <v>97</v>
      </c>
      <c r="K113" s="31" t="s">
        <v>98</v>
      </c>
      <c r="L113" s="31" t="s">
        <v>85</v>
      </c>
      <c r="M113" s="32" t="n">
        <v>44993</v>
      </c>
      <c r="N113" s="33" t="n">
        <f aca="false">H113*I113</f>
        <v>499.98</v>
      </c>
      <c r="O113" s="31" t="n">
        <f aca="true">DATEDIF(B113,TODAY(),"d")</f>
        <v>753</v>
      </c>
      <c r="P113" s="32" t="n">
        <f aca="false">EOMONTH(B113,0)</f>
        <v>45565</v>
      </c>
      <c r="Q113" s="31" t="str">
        <f aca="false">IF(K113=Filter!$B$2,COUNTIF(K$2:K113,Filter!$B$2),"")</f>
        <v/>
      </c>
    </row>
    <row r="114" customFormat="false" ht="15" hidden="false" customHeight="false" outlineLevel="0" collapsed="false">
      <c r="A114" s="31" t="s">
        <v>312</v>
      </c>
      <c r="B114" s="32" t="n">
        <v>45551</v>
      </c>
      <c r="C114" s="31" t="s">
        <v>217</v>
      </c>
      <c r="D114" s="31" t="s">
        <v>218</v>
      </c>
      <c r="E114" s="31" t="s">
        <v>189</v>
      </c>
      <c r="F114" s="31" t="s">
        <v>190</v>
      </c>
      <c r="G114" s="31" t="s">
        <v>109</v>
      </c>
      <c r="H114" s="31" t="n">
        <v>4</v>
      </c>
      <c r="I114" s="33" t="n">
        <v>199.99</v>
      </c>
      <c r="J114" s="31" t="s">
        <v>120</v>
      </c>
      <c r="K114" s="31" t="s">
        <v>126</v>
      </c>
      <c r="L114" s="31" t="s">
        <v>85</v>
      </c>
      <c r="M114" s="32" t="n">
        <v>44458</v>
      </c>
      <c r="N114" s="33" t="n">
        <f aca="false">H114*I114</f>
        <v>799.96</v>
      </c>
      <c r="O114" s="31" t="n">
        <f aca="true">DATEDIF(B114,TODAY(),"d")</f>
        <v>753</v>
      </c>
      <c r="P114" s="32" t="n">
        <f aca="false">EOMONTH(B114,0)</f>
        <v>45565</v>
      </c>
      <c r="Q114" s="31" t="str">
        <f aca="false">IF(K114=Filter!$B$2,COUNTIF(K$2:K114,Filter!$B$2),"")</f>
        <v/>
      </c>
    </row>
    <row r="115" customFormat="false" ht="15" hidden="false" customHeight="false" outlineLevel="0" collapsed="false">
      <c r="A115" s="31" t="s">
        <v>313</v>
      </c>
      <c r="B115" s="32" t="n">
        <v>45554</v>
      </c>
      <c r="C115" s="31" t="s">
        <v>210</v>
      </c>
      <c r="D115" s="31" t="s">
        <v>211</v>
      </c>
      <c r="E115" s="31" t="s">
        <v>180</v>
      </c>
      <c r="F115" s="31" t="s">
        <v>181</v>
      </c>
      <c r="G115" s="31" t="s">
        <v>82</v>
      </c>
      <c r="H115" s="31" t="n">
        <v>5</v>
      </c>
      <c r="I115" s="33" t="n">
        <v>89.99</v>
      </c>
      <c r="J115" s="31" t="s">
        <v>89</v>
      </c>
      <c r="K115" s="31" t="s">
        <v>126</v>
      </c>
      <c r="L115" s="31" t="s">
        <v>90</v>
      </c>
      <c r="M115" s="32" t="n">
        <v>44446</v>
      </c>
      <c r="N115" s="33" t="n">
        <f aca="false">H115*I115</f>
        <v>449.95</v>
      </c>
      <c r="O115" s="31" t="n">
        <f aca="true">DATEDIF(B115,TODAY(),"d")</f>
        <v>750</v>
      </c>
      <c r="P115" s="32" t="n">
        <f aca="false">EOMONTH(B115,0)</f>
        <v>45565</v>
      </c>
      <c r="Q115" s="31" t="str">
        <f aca="false">IF(K115=Filter!$B$2,COUNTIF(K$2:K115,Filter!$B$2),"")</f>
        <v/>
      </c>
    </row>
    <row r="116" customFormat="false" ht="15" hidden="false" customHeight="false" outlineLevel="0" collapsed="false">
      <c r="A116" s="31" t="s">
        <v>314</v>
      </c>
      <c r="B116" s="32" t="n">
        <v>45554</v>
      </c>
      <c r="C116" s="31" t="s">
        <v>315</v>
      </c>
      <c r="D116" s="31" t="s">
        <v>316</v>
      </c>
      <c r="E116" s="31" t="s">
        <v>115</v>
      </c>
      <c r="F116" s="31" t="s">
        <v>116</v>
      </c>
      <c r="G116" s="31" t="s">
        <v>82</v>
      </c>
      <c r="H116" s="31" t="n">
        <v>1</v>
      </c>
      <c r="I116" s="33" t="n">
        <v>149.99</v>
      </c>
      <c r="J116" s="31" t="s">
        <v>97</v>
      </c>
      <c r="K116" s="31" t="s">
        <v>126</v>
      </c>
      <c r="L116" s="31" t="s">
        <v>99</v>
      </c>
      <c r="M116" s="32" t="n">
        <v>44482</v>
      </c>
      <c r="N116" s="33" t="n">
        <f aca="false">H116*I116</f>
        <v>149.99</v>
      </c>
      <c r="O116" s="31" t="n">
        <f aca="true">DATEDIF(B116,TODAY(),"d")</f>
        <v>750</v>
      </c>
      <c r="P116" s="32" t="n">
        <f aca="false">EOMONTH(B116,0)</f>
        <v>45565</v>
      </c>
      <c r="Q116" s="31" t="str">
        <f aca="false">IF(K116=Filter!$B$2,COUNTIF(K$2:K116,Filter!$B$2),"")</f>
        <v/>
      </c>
    </row>
    <row r="117" customFormat="false" ht="15" hidden="false" customHeight="false" outlineLevel="0" collapsed="false">
      <c r="A117" s="31" t="s">
        <v>317</v>
      </c>
      <c r="B117" s="32" t="n">
        <v>45554</v>
      </c>
      <c r="C117" s="31" t="s">
        <v>135</v>
      </c>
      <c r="D117" s="31" t="s">
        <v>136</v>
      </c>
      <c r="E117" s="31" t="s">
        <v>143</v>
      </c>
      <c r="F117" s="31" t="s">
        <v>144</v>
      </c>
      <c r="G117" s="31" t="s">
        <v>82</v>
      </c>
      <c r="H117" s="31" t="n">
        <v>4</v>
      </c>
      <c r="I117" s="33" t="n">
        <v>699.99</v>
      </c>
      <c r="J117" s="31" t="s">
        <v>97</v>
      </c>
      <c r="K117" s="31" t="s">
        <v>98</v>
      </c>
      <c r="L117" s="31" t="s">
        <v>85</v>
      </c>
      <c r="M117" s="32" t="n">
        <v>44618</v>
      </c>
      <c r="N117" s="33" t="n">
        <f aca="false">H117*I117</f>
        <v>2799.96</v>
      </c>
      <c r="O117" s="31" t="n">
        <f aca="true">DATEDIF(B117,TODAY(),"d")</f>
        <v>750</v>
      </c>
      <c r="P117" s="32" t="n">
        <f aca="false">EOMONTH(B117,0)</f>
        <v>45565</v>
      </c>
      <c r="Q117" s="31" t="str">
        <f aca="false">IF(K117=Filter!$B$2,COUNTIF(K$2:K117,Filter!$B$2),"")</f>
        <v/>
      </c>
    </row>
    <row r="118" customFormat="false" ht="15" hidden="false" customHeight="false" outlineLevel="0" collapsed="false">
      <c r="A118" s="31" t="s">
        <v>318</v>
      </c>
      <c r="B118" s="32" t="n">
        <v>45559</v>
      </c>
      <c r="C118" s="31" t="s">
        <v>297</v>
      </c>
      <c r="D118" s="31" t="s">
        <v>298</v>
      </c>
      <c r="E118" s="31" t="s">
        <v>124</v>
      </c>
      <c r="F118" s="31" t="s">
        <v>125</v>
      </c>
      <c r="G118" s="31" t="s">
        <v>82</v>
      </c>
      <c r="H118" s="31" t="n">
        <v>3</v>
      </c>
      <c r="I118" s="33" t="n">
        <v>899.99</v>
      </c>
      <c r="J118" s="31" t="s">
        <v>89</v>
      </c>
      <c r="K118" s="31" t="s">
        <v>103</v>
      </c>
      <c r="L118" s="31" t="s">
        <v>99</v>
      </c>
      <c r="M118" s="32" t="n">
        <v>45157</v>
      </c>
      <c r="N118" s="33" t="n">
        <f aca="false">H118*I118</f>
        <v>2699.97</v>
      </c>
      <c r="O118" s="31" t="n">
        <f aca="true">DATEDIF(B118,TODAY(),"d")</f>
        <v>745</v>
      </c>
      <c r="P118" s="32" t="n">
        <f aca="false">EOMONTH(B118,0)</f>
        <v>45565</v>
      </c>
      <c r="Q118" s="31" t="str">
        <f aca="false">IF(K118=Filter!$B$2,COUNTIF(K$2:K118,Filter!$B$2),"")</f>
        <v/>
      </c>
    </row>
    <row r="119" customFormat="false" ht="15" hidden="false" customHeight="false" outlineLevel="0" collapsed="false">
      <c r="A119" s="31" t="s">
        <v>319</v>
      </c>
      <c r="B119" s="32" t="n">
        <v>45560</v>
      </c>
      <c r="C119" s="31" t="s">
        <v>175</v>
      </c>
      <c r="D119" s="31" t="s">
        <v>176</v>
      </c>
      <c r="E119" s="31" t="s">
        <v>107</v>
      </c>
      <c r="F119" s="31" t="s">
        <v>108</v>
      </c>
      <c r="G119" s="31" t="s">
        <v>109</v>
      </c>
      <c r="H119" s="31" t="n">
        <v>3</v>
      </c>
      <c r="I119" s="33" t="n">
        <v>149.99</v>
      </c>
      <c r="J119" s="31" t="s">
        <v>97</v>
      </c>
      <c r="K119" s="31" t="s">
        <v>126</v>
      </c>
      <c r="L119" s="31" t="s">
        <v>85</v>
      </c>
      <c r="M119" s="32" t="n">
        <v>44886</v>
      </c>
      <c r="N119" s="33" t="n">
        <f aca="false">H119*I119</f>
        <v>449.97</v>
      </c>
      <c r="O119" s="31" t="n">
        <f aca="true">DATEDIF(B119,TODAY(),"d")</f>
        <v>744</v>
      </c>
      <c r="P119" s="32" t="n">
        <f aca="false">EOMONTH(B119,0)</f>
        <v>45565</v>
      </c>
      <c r="Q119" s="31" t="str">
        <f aca="false">IF(K119=Filter!$B$2,COUNTIF(K$2:K119,Filter!$B$2),"")</f>
        <v/>
      </c>
    </row>
    <row r="120" customFormat="false" ht="15" hidden="false" customHeight="false" outlineLevel="0" collapsed="false">
      <c r="A120" s="31" t="s">
        <v>320</v>
      </c>
      <c r="B120" s="32" t="n">
        <v>45563</v>
      </c>
      <c r="C120" s="31" t="s">
        <v>162</v>
      </c>
      <c r="D120" s="31" t="s">
        <v>163</v>
      </c>
      <c r="E120" s="31" t="s">
        <v>168</v>
      </c>
      <c r="F120" s="31" t="s">
        <v>169</v>
      </c>
      <c r="G120" s="31" t="s">
        <v>109</v>
      </c>
      <c r="H120" s="31" t="n">
        <v>2</v>
      </c>
      <c r="I120" s="33" t="n">
        <v>299.99</v>
      </c>
      <c r="J120" s="31" t="s">
        <v>120</v>
      </c>
      <c r="K120" s="31" t="s">
        <v>84</v>
      </c>
      <c r="L120" s="31" t="s">
        <v>85</v>
      </c>
      <c r="M120" s="32" t="n">
        <v>44569</v>
      </c>
      <c r="N120" s="33" t="n">
        <f aca="false">H120*I120</f>
        <v>599.98</v>
      </c>
      <c r="O120" s="31" t="n">
        <f aca="true">DATEDIF(B120,TODAY(),"d")</f>
        <v>741</v>
      </c>
      <c r="P120" s="32" t="n">
        <f aca="false">EOMONTH(B120,0)</f>
        <v>45565</v>
      </c>
      <c r="Q120" s="31" t="str">
        <f aca="false">IF(K120=Filter!$B$2,COUNTIF(K$2:K120,Filter!$B$2),"")</f>
        <v/>
      </c>
    </row>
    <row r="121" customFormat="false" ht="15" hidden="false" customHeight="false" outlineLevel="0" collapsed="false">
      <c r="A121" s="31" t="s">
        <v>321</v>
      </c>
      <c r="B121" s="32" t="n">
        <v>45564</v>
      </c>
      <c r="C121" s="31" t="s">
        <v>322</v>
      </c>
      <c r="D121" s="31" t="s">
        <v>323</v>
      </c>
      <c r="E121" s="31" t="s">
        <v>189</v>
      </c>
      <c r="F121" s="31" t="s">
        <v>190</v>
      </c>
      <c r="G121" s="31" t="s">
        <v>109</v>
      </c>
      <c r="H121" s="31" t="n">
        <v>1</v>
      </c>
      <c r="I121" s="33" t="n">
        <v>199.99</v>
      </c>
      <c r="J121" s="31" t="s">
        <v>120</v>
      </c>
      <c r="K121" s="31" t="s">
        <v>126</v>
      </c>
      <c r="L121" s="31" t="s">
        <v>99</v>
      </c>
      <c r="M121" s="32" t="n">
        <v>44953</v>
      </c>
      <c r="N121" s="33" t="n">
        <f aca="false">H121*I121</f>
        <v>199.99</v>
      </c>
      <c r="O121" s="31" t="n">
        <f aca="true">DATEDIF(B121,TODAY(),"d")</f>
        <v>740</v>
      </c>
      <c r="P121" s="32" t="n">
        <f aca="false">EOMONTH(B121,0)</f>
        <v>45565</v>
      </c>
      <c r="Q121" s="31" t="str">
        <f aca="false">IF(K121=Filter!$B$2,COUNTIF(K$2:K121,Filter!$B$2),"")</f>
        <v/>
      </c>
    </row>
    <row r="122" customFormat="false" ht="15" hidden="false" customHeight="false" outlineLevel="0" collapsed="false">
      <c r="A122" s="31" t="s">
        <v>324</v>
      </c>
      <c r="B122" s="32" t="n">
        <v>45566</v>
      </c>
      <c r="C122" s="31" t="s">
        <v>105</v>
      </c>
      <c r="D122" s="31" t="s">
        <v>106</v>
      </c>
      <c r="E122" s="31" t="s">
        <v>168</v>
      </c>
      <c r="F122" s="31" t="s">
        <v>169</v>
      </c>
      <c r="G122" s="31" t="s">
        <v>109</v>
      </c>
      <c r="H122" s="31" t="n">
        <v>4</v>
      </c>
      <c r="I122" s="33" t="n">
        <v>299.99</v>
      </c>
      <c r="J122" s="31" t="s">
        <v>83</v>
      </c>
      <c r="K122" s="31" t="s">
        <v>84</v>
      </c>
      <c r="L122" s="31" t="s">
        <v>90</v>
      </c>
      <c r="M122" s="32" t="n">
        <v>44460</v>
      </c>
      <c r="N122" s="33" t="n">
        <f aca="false">H122*I122</f>
        <v>1199.96</v>
      </c>
      <c r="O122" s="31" t="n">
        <f aca="true">DATEDIF(B122,TODAY(),"d")</f>
        <v>738</v>
      </c>
      <c r="P122" s="32" t="n">
        <f aca="false">EOMONTH(B122,0)</f>
        <v>45596</v>
      </c>
      <c r="Q122" s="31" t="str">
        <f aca="false">IF(K122=Filter!$B$2,COUNTIF(K$2:K122,Filter!$B$2),"")</f>
        <v/>
      </c>
    </row>
    <row r="123" customFormat="false" ht="15" hidden="false" customHeight="false" outlineLevel="0" collapsed="false">
      <c r="A123" s="31" t="s">
        <v>325</v>
      </c>
      <c r="B123" s="32" t="n">
        <v>45572</v>
      </c>
      <c r="C123" s="31" t="s">
        <v>152</v>
      </c>
      <c r="D123" s="31" t="s">
        <v>153</v>
      </c>
      <c r="E123" s="31" t="s">
        <v>94</v>
      </c>
      <c r="F123" s="31" t="s">
        <v>95</v>
      </c>
      <c r="G123" s="31" t="s">
        <v>96</v>
      </c>
      <c r="H123" s="31" t="n">
        <v>2</v>
      </c>
      <c r="I123" s="33" t="n">
        <v>59.99</v>
      </c>
      <c r="J123" s="31" t="s">
        <v>89</v>
      </c>
      <c r="K123" s="31" t="s">
        <v>84</v>
      </c>
      <c r="L123" s="31" t="s">
        <v>85</v>
      </c>
      <c r="M123" s="32" t="n">
        <v>44579</v>
      </c>
      <c r="N123" s="33" t="n">
        <f aca="false">H123*I123</f>
        <v>119.98</v>
      </c>
      <c r="O123" s="31" t="n">
        <f aca="true">DATEDIF(B123,TODAY(),"d")</f>
        <v>732</v>
      </c>
      <c r="P123" s="32" t="n">
        <f aca="false">EOMONTH(B123,0)</f>
        <v>45596</v>
      </c>
      <c r="Q123" s="31" t="str">
        <f aca="false">IF(K123=Filter!$B$2,COUNTIF(K$2:K123,Filter!$B$2),"")</f>
        <v/>
      </c>
    </row>
    <row r="124" customFormat="false" ht="15" hidden="false" customHeight="false" outlineLevel="0" collapsed="false">
      <c r="A124" s="31" t="s">
        <v>326</v>
      </c>
      <c r="B124" s="32" t="n">
        <v>45572</v>
      </c>
      <c r="C124" s="31" t="s">
        <v>297</v>
      </c>
      <c r="D124" s="31" t="s">
        <v>298</v>
      </c>
      <c r="E124" s="31" t="s">
        <v>115</v>
      </c>
      <c r="F124" s="31" t="s">
        <v>116</v>
      </c>
      <c r="G124" s="31" t="s">
        <v>82</v>
      </c>
      <c r="H124" s="31" t="n">
        <v>4</v>
      </c>
      <c r="I124" s="33" t="n">
        <v>149.99</v>
      </c>
      <c r="J124" s="31" t="s">
        <v>89</v>
      </c>
      <c r="K124" s="31" t="s">
        <v>103</v>
      </c>
      <c r="L124" s="31" t="s">
        <v>90</v>
      </c>
      <c r="M124" s="32" t="n">
        <v>45076</v>
      </c>
      <c r="N124" s="33" t="n">
        <f aca="false">H124*I124</f>
        <v>599.96</v>
      </c>
      <c r="O124" s="31" t="n">
        <f aca="true">DATEDIF(B124,TODAY(),"d")</f>
        <v>732</v>
      </c>
      <c r="P124" s="32" t="n">
        <f aca="false">EOMONTH(B124,0)</f>
        <v>45596</v>
      </c>
      <c r="Q124" s="31" t="str">
        <f aca="false">IF(K124=Filter!$B$2,COUNTIF(K$2:K124,Filter!$B$2),"")</f>
        <v/>
      </c>
    </row>
    <row r="125" customFormat="false" ht="15" hidden="false" customHeight="false" outlineLevel="0" collapsed="false">
      <c r="A125" s="31" t="s">
        <v>327</v>
      </c>
      <c r="B125" s="32" t="n">
        <v>45573</v>
      </c>
      <c r="C125" s="31" t="s">
        <v>274</v>
      </c>
      <c r="D125" s="31" t="s">
        <v>275</v>
      </c>
      <c r="E125" s="31" t="s">
        <v>143</v>
      </c>
      <c r="F125" s="31" t="s">
        <v>144</v>
      </c>
      <c r="G125" s="31" t="s">
        <v>82</v>
      </c>
      <c r="H125" s="31" t="n">
        <v>2</v>
      </c>
      <c r="I125" s="33" t="n">
        <v>699.99</v>
      </c>
      <c r="J125" s="31" t="s">
        <v>120</v>
      </c>
      <c r="K125" s="31" t="s">
        <v>126</v>
      </c>
      <c r="L125" s="31" t="s">
        <v>90</v>
      </c>
      <c r="M125" s="32" t="n">
        <v>45274</v>
      </c>
      <c r="N125" s="33" t="n">
        <f aca="false">H125*I125</f>
        <v>1399.98</v>
      </c>
      <c r="O125" s="31" t="n">
        <f aca="true">DATEDIF(B125,TODAY(),"d")</f>
        <v>731</v>
      </c>
      <c r="P125" s="32" t="n">
        <f aca="false">EOMONTH(B125,0)</f>
        <v>45596</v>
      </c>
      <c r="Q125" s="31" t="str">
        <f aca="false">IF(K125=Filter!$B$2,COUNTIF(K$2:K125,Filter!$B$2),"")</f>
        <v/>
      </c>
    </row>
    <row r="126" customFormat="false" ht="15" hidden="false" customHeight="false" outlineLevel="0" collapsed="false">
      <c r="A126" s="31" t="s">
        <v>328</v>
      </c>
      <c r="B126" s="32" t="n">
        <v>45573</v>
      </c>
      <c r="C126" s="31" t="s">
        <v>294</v>
      </c>
      <c r="D126" s="31" t="s">
        <v>295</v>
      </c>
      <c r="E126" s="31" t="s">
        <v>107</v>
      </c>
      <c r="F126" s="31" t="s">
        <v>108</v>
      </c>
      <c r="G126" s="31" t="s">
        <v>109</v>
      </c>
      <c r="H126" s="31" t="n">
        <v>3</v>
      </c>
      <c r="I126" s="33" t="n">
        <v>149.99</v>
      </c>
      <c r="J126" s="31" t="s">
        <v>89</v>
      </c>
      <c r="K126" s="31" t="s">
        <v>98</v>
      </c>
      <c r="L126" s="31" t="s">
        <v>99</v>
      </c>
      <c r="M126" s="32" t="n">
        <v>44940</v>
      </c>
      <c r="N126" s="33" t="n">
        <f aca="false">H126*I126</f>
        <v>449.97</v>
      </c>
      <c r="O126" s="31" t="n">
        <f aca="true">DATEDIF(B126,TODAY(),"d")</f>
        <v>731</v>
      </c>
      <c r="P126" s="32" t="n">
        <f aca="false">EOMONTH(B126,0)</f>
        <v>45596</v>
      </c>
      <c r="Q126" s="31" t="str">
        <f aca="false">IF(K126=Filter!$B$2,COUNTIF(K$2:K126,Filter!$B$2),"")</f>
        <v/>
      </c>
    </row>
    <row r="127" customFormat="false" ht="15" hidden="false" customHeight="false" outlineLevel="0" collapsed="false">
      <c r="A127" s="31" t="s">
        <v>329</v>
      </c>
      <c r="B127" s="32" t="n">
        <v>45576</v>
      </c>
      <c r="C127" s="31" t="s">
        <v>210</v>
      </c>
      <c r="D127" s="31" t="s">
        <v>211</v>
      </c>
      <c r="E127" s="31" t="s">
        <v>168</v>
      </c>
      <c r="F127" s="31" t="s">
        <v>169</v>
      </c>
      <c r="G127" s="31" t="s">
        <v>109</v>
      </c>
      <c r="H127" s="31" t="n">
        <v>3</v>
      </c>
      <c r="I127" s="33" t="n">
        <v>299.99</v>
      </c>
      <c r="J127" s="31" t="s">
        <v>89</v>
      </c>
      <c r="K127" s="31" t="s">
        <v>84</v>
      </c>
      <c r="L127" s="31" t="s">
        <v>99</v>
      </c>
      <c r="M127" s="32" t="n">
        <v>45174</v>
      </c>
      <c r="N127" s="33" t="n">
        <f aca="false">H127*I127</f>
        <v>899.97</v>
      </c>
      <c r="O127" s="31" t="n">
        <f aca="true">DATEDIF(B127,TODAY(),"d")</f>
        <v>728</v>
      </c>
      <c r="P127" s="32" t="n">
        <f aca="false">EOMONTH(B127,0)</f>
        <v>45596</v>
      </c>
      <c r="Q127" s="31" t="str">
        <f aca="false">IF(K127=Filter!$B$2,COUNTIF(K$2:K127,Filter!$B$2),"")</f>
        <v/>
      </c>
    </row>
    <row r="128" customFormat="false" ht="15" hidden="false" customHeight="false" outlineLevel="0" collapsed="false">
      <c r="A128" s="31" t="s">
        <v>330</v>
      </c>
      <c r="B128" s="32" t="n">
        <v>45579</v>
      </c>
      <c r="C128" s="31" t="s">
        <v>146</v>
      </c>
      <c r="D128" s="31" t="s">
        <v>147</v>
      </c>
      <c r="E128" s="31" t="s">
        <v>124</v>
      </c>
      <c r="F128" s="31" t="s">
        <v>125</v>
      </c>
      <c r="G128" s="31" t="s">
        <v>82</v>
      </c>
      <c r="H128" s="31" t="n">
        <v>3</v>
      </c>
      <c r="I128" s="33" t="n">
        <v>899.99</v>
      </c>
      <c r="J128" s="31" t="s">
        <v>97</v>
      </c>
      <c r="K128" s="31" t="s">
        <v>113</v>
      </c>
      <c r="L128" s="31" t="s">
        <v>85</v>
      </c>
      <c r="M128" s="32" t="n">
        <v>45215</v>
      </c>
      <c r="N128" s="33" t="n">
        <f aca="false">H128*I128</f>
        <v>2699.97</v>
      </c>
      <c r="O128" s="31" t="n">
        <f aca="true">DATEDIF(B128,TODAY(),"d")</f>
        <v>725</v>
      </c>
      <c r="P128" s="32" t="n">
        <f aca="false">EOMONTH(B128,0)</f>
        <v>45596</v>
      </c>
      <c r="Q128" s="31" t="n">
        <f aca="false">IF(K128=Filter!$B$2,COUNTIF(K$2:K128,Filter!$B$2),"")</f>
        <v>22</v>
      </c>
    </row>
    <row r="129" customFormat="false" ht="15" hidden="false" customHeight="false" outlineLevel="0" collapsed="false">
      <c r="A129" s="31" t="s">
        <v>331</v>
      </c>
      <c r="B129" s="32" t="n">
        <v>45581</v>
      </c>
      <c r="C129" s="31" t="s">
        <v>159</v>
      </c>
      <c r="D129" s="31" t="s">
        <v>160</v>
      </c>
      <c r="E129" s="31" t="s">
        <v>143</v>
      </c>
      <c r="F129" s="31" t="s">
        <v>144</v>
      </c>
      <c r="G129" s="31" t="s">
        <v>82</v>
      </c>
      <c r="H129" s="31" t="n">
        <v>5</v>
      </c>
      <c r="I129" s="33" t="n">
        <v>699.99</v>
      </c>
      <c r="J129" s="31" t="s">
        <v>83</v>
      </c>
      <c r="K129" s="31" t="s">
        <v>126</v>
      </c>
      <c r="L129" s="31" t="s">
        <v>99</v>
      </c>
      <c r="M129" s="32" t="n">
        <v>45008</v>
      </c>
      <c r="N129" s="33" t="n">
        <f aca="false">H129*I129</f>
        <v>3499.95</v>
      </c>
      <c r="O129" s="31" t="n">
        <f aca="true">DATEDIF(B129,TODAY(),"d")</f>
        <v>723</v>
      </c>
      <c r="P129" s="32" t="n">
        <f aca="false">EOMONTH(B129,0)</f>
        <v>45596</v>
      </c>
      <c r="Q129" s="31" t="str">
        <f aca="false">IF(K129=Filter!$B$2,COUNTIF(K$2:K129,Filter!$B$2),"")</f>
        <v/>
      </c>
    </row>
    <row r="130" customFormat="false" ht="15" hidden="false" customHeight="false" outlineLevel="0" collapsed="false">
      <c r="A130" s="31" t="s">
        <v>332</v>
      </c>
      <c r="B130" s="32" t="n">
        <v>45581</v>
      </c>
      <c r="C130" s="31" t="s">
        <v>234</v>
      </c>
      <c r="D130" s="31" t="s">
        <v>235</v>
      </c>
      <c r="E130" s="31" t="s">
        <v>143</v>
      </c>
      <c r="F130" s="31" t="s">
        <v>144</v>
      </c>
      <c r="G130" s="31" t="s">
        <v>82</v>
      </c>
      <c r="H130" s="31" t="n">
        <v>4</v>
      </c>
      <c r="I130" s="33" t="n">
        <v>699.99</v>
      </c>
      <c r="J130" s="31" t="s">
        <v>89</v>
      </c>
      <c r="K130" s="31" t="s">
        <v>84</v>
      </c>
      <c r="L130" s="31" t="s">
        <v>85</v>
      </c>
      <c r="M130" s="32" t="n">
        <v>45385</v>
      </c>
      <c r="N130" s="33" t="n">
        <f aca="false">H130*I130</f>
        <v>2799.96</v>
      </c>
      <c r="O130" s="31" t="n">
        <f aca="true">DATEDIF(B130,TODAY(),"d")</f>
        <v>723</v>
      </c>
      <c r="P130" s="32" t="n">
        <f aca="false">EOMONTH(B130,0)</f>
        <v>45596</v>
      </c>
      <c r="Q130" s="31" t="str">
        <f aca="false">IF(K130=Filter!$B$2,COUNTIF(K$2:K130,Filter!$B$2),"")</f>
        <v/>
      </c>
    </row>
    <row r="131" customFormat="false" ht="15" hidden="false" customHeight="false" outlineLevel="0" collapsed="false">
      <c r="A131" s="31" t="s">
        <v>333</v>
      </c>
      <c r="B131" s="32" t="n">
        <v>45581</v>
      </c>
      <c r="C131" s="31" t="s">
        <v>213</v>
      </c>
      <c r="D131" s="31" t="s">
        <v>214</v>
      </c>
      <c r="E131" s="31" t="s">
        <v>124</v>
      </c>
      <c r="F131" s="31" t="s">
        <v>125</v>
      </c>
      <c r="G131" s="31" t="s">
        <v>82</v>
      </c>
      <c r="H131" s="31" t="n">
        <v>1</v>
      </c>
      <c r="I131" s="33" t="n">
        <v>899.99</v>
      </c>
      <c r="J131" s="31" t="s">
        <v>89</v>
      </c>
      <c r="K131" s="31" t="s">
        <v>126</v>
      </c>
      <c r="L131" s="31" t="s">
        <v>99</v>
      </c>
      <c r="M131" s="32" t="n">
        <v>45369</v>
      </c>
      <c r="N131" s="33" t="n">
        <f aca="false">H131*I131</f>
        <v>899.99</v>
      </c>
      <c r="O131" s="31" t="n">
        <f aca="true">DATEDIF(B131,TODAY(),"d")</f>
        <v>723</v>
      </c>
      <c r="P131" s="32" t="n">
        <f aca="false">EOMONTH(B131,0)</f>
        <v>45596</v>
      </c>
      <c r="Q131" s="31" t="str">
        <f aca="false">IF(K131=Filter!$B$2,COUNTIF(K$2:K131,Filter!$B$2),"")</f>
        <v/>
      </c>
    </row>
    <row r="132" customFormat="false" ht="15" hidden="false" customHeight="false" outlineLevel="0" collapsed="false">
      <c r="A132" s="31" t="s">
        <v>334</v>
      </c>
      <c r="B132" s="32" t="n">
        <v>45583</v>
      </c>
      <c r="C132" s="31" t="s">
        <v>289</v>
      </c>
      <c r="D132" s="31" t="s">
        <v>290</v>
      </c>
      <c r="E132" s="31" t="s">
        <v>115</v>
      </c>
      <c r="F132" s="31" t="s">
        <v>116</v>
      </c>
      <c r="G132" s="31" t="s">
        <v>82</v>
      </c>
      <c r="H132" s="31" t="n">
        <v>2</v>
      </c>
      <c r="I132" s="33" t="n">
        <v>149.99</v>
      </c>
      <c r="J132" s="31" t="s">
        <v>89</v>
      </c>
      <c r="K132" s="31" t="s">
        <v>113</v>
      </c>
      <c r="L132" s="31" t="s">
        <v>85</v>
      </c>
      <c r="M132" s="32" t="n">
        <v>44916</v>
      </c>
      <c r="N132" s="33" t="n">
        <f aca="false">H132*I132</f>
        <v>299.98</v>
      </c>
      <c r="O132" s="31" t="n">
        <f aca="true">DATEDIF(B132,TODAY(),"d")</f>
        <v>721</v>
      </c>
      <c r="P132" s="32" t="n">
        <f aca="false">EOMONTH(B132,0)</f>
        <v>45596</v>
      </c>
      <c r="Q132" s="31" t="n">
        <f aca="false">IF(K132=Filter!$B$2,COUNTIF(K$2:K132,Filter!$B$2),"")</f>
        <v>23</v>
      </c>
    </row>
    <row r="133" customFormat="false" ht="15" hidden="false" customHeight="false" outlineLevel="0" collapsed="false">
      <c r="A133" s="31" t="s">
        <v>335</v>
      </c>
      <c r="B133" s="32" t="n">
        <v>45586</v>
      </c>
      <c r="C133" s="31" t="s">
        <v>289</v>
      </c>
      <c r="D133" s="31" t="s">
        <v>290</v>
      </c>
      <c r="E133" s="31" t="s">
        <v>180</v>
      </c>
      <c r="F133" s="31" t="s">
        <v>181</v>
      </c>
      <c r="G133" s="31" t="s">
        <v>82</v>
      </c>
      <c r="H133" s="31" t="n">
        <v>3</v>
      </c>
      <c r="I133" s="33" t="n">
        <v>89.99</v>
      </c>
      <c r="J133" s="31" t="s">
        <v>97</v>
      </c>
      <c r="K133" s="31" t="s">
        <v>84</v>
      </c>
      <c r="L133" s="31" t="s">
        <v>85</v>
      </c>
      <c r="M133" s="32" t="n">
        <v>44551</v>
      </c>
      <c r="N133" s="33" t="n">
        <f aca="false">H133*I133</f>
        <v>269.97</v>
      </c>
      <c r="O133" s="31" t="n">
        <f aca="true">DATEDIF(B133,TODAY(),"d")</f>
        <v>718</v>
      </c>
      <c r="P133" s="32" t="n">
        <f aca="false">EOMONTH(B133,0)</f>
        <v>45596</v>
      </c>
      <c r="Q133" s="31" t="str">
        <f aca="false">IF(K133=Filter!$B$2,COUNTIF(K$2:K133,Filter!$B$2),"")</f>
        <v/>
      </c>
    </row>
    <row r="134" customFormat="false" ht="15" hidden="false" customHeight="false" outlineLevel="0" collapsed="false">
      <c r="A134" s="31" t="s">
        <v>336</v>
      </c>
      <c r="B134" s="32" t="n">
        <v>45588</v>
      </c>
      <c r="C134" s="31" t="s">
        <v>101</v>
      </c>
      <c r="D134" s="31" t="s">
        <v>102</v>
      </c>
      <c r="E134" s="31" t="s">
        <v>115</v>
      </c>
      <c r="F134" s="31" t="s">
        <v>116</v>
      </c>
      <c r="G134" s="31" t="s">
        <v>82</v>
      </c>
      <c r="H134" s="31" t="n">
        <v>2</v>
      </c>
      <c r="I134" s="33" t="n">
        <v>149.99</v>
      </c>
      <c r="J134" s="31" t="s">
        <v>97</v>
      </c>
      <c r="K134" s="31" t="s">
        <v>84</v>
      </c>
      <c r="L134" s="31" t="s">
        <v>85</v>
      </c>
      <c r="M134" s="32" t="n">
        <v>44473</v>
      </c>
      <c r="N134" s="33" t="n">
        <f aca="false">H134*I134</f>
        <v>299.98</v>
      </c>
      <c r="O134" s="31" t="n">
        <f aca="true">DATEDIF(B134,TODAY(),"d")</f>
        <v>716</v>
      </c>
      <c r="P134" s="32" t="n">
        <f aca="false">EOMONTH(B134,0)</f>
        <v>45596</v>
      </c>
      <c r="Q134" s="31" t="str">
        <f aca="false">IF(K134=Filter!$B$2,COUNTIF(K$2:K134,Filter!$B$2),"")</f>
        <v/>
      </c>
    </row>
    <row r="135" customFormat="false" ht="15" hidden="false" customHeight="false" outlineLevel="0" collapsed="false">
      <c r="A135" s="31" t="s">
        <v>337</v>
      </c>
      <c r="B135" s="32" t="n">
        <v>45588</v>
      </c>
      <c r="C135" s="31" t="s">
        <v>217</v>
      </c>
      <c r="D135" s="31" t="s">
        <v>218</v>
      </c>
      <c r="E135" s="31" t="s">
        <v>143</v>
      </c>
      <c r="F135" s="31" t="s">
        <v>144</v>
      </c>
      <c r="G135" s="31" t="s">
        <v>82</v>
      </c>
      <c r="H135" s="31" t="n">
        <v>2</v>
      </c>
      <c r="I135" s="33" t="n">
        <v>699.99</v>
      </c>
      <c r="J135" s="31" t="s">
        <v>83</v>
      </c>
      <c r="K135" s="31" t="s">
        <v>84</v>
      </c>
      <c r="L135" s="31" t="s">
        <v>85</v>
      </c>
      <c r="M135" s="32" t="n">
        <v>44992</v>
      </c>
      <c r="N135" s="33" t="n">
        <f aca="false">H135*I135</f>
        <v>1399.98</v>
      </c>
      <c r="O135" s="31" t="n">
        <f aca="true">DATEDIF(B135,TODAY(),"d")</f>
        <v>716</v>
      </c>
      <c r="P135" s="32" t="n">
        <f aca="false">EOMONTH(B135,0)</f>
        <v>45596</v>
      </c>
      <c r="Q135" s="31" t="str">
        <f aca="false">IF(K135=Filter!$B$2,COUNTIF(K$2:K135,Filter!$B$2),"")</f>
        <v/>
      </c>
    </row>
    <row r="136" customFormat="false" ht="15" hidden="false" customHeight="false" outlineLevel="0" collapsed="false">
      <c r="A136" s="31" t="s">
        <v>338</v>
      </c>
      <c r="B136" s="32" t="n">
        <v>45589</v>
      </c>
      <c r="C136" s="31" t="s">
        <v>221</v>
      </c>
      <c r="D136" s="31" t="s">
        <v>222</v>
      </c>
      <c r="E136" s="31" t="s">
        <v>143</v>
      </c>
      <c r="F136" s="31" t="s">
        <v>144</v>
      </c>
      <c r="G136" s="31" t="s">
        <v>82</v>
      </c>
      <c r="H136" s="31" t="n">
        <v>5</v>
      </c>
      <c r="I136" s="33" t="n">
        <v>699.99</v>
      </c>
      <c r="J136" s="31" t="s">
        <v>83</v>
      </c>
      <c r="K136" s="31" t="s">
        <v>103</v>
      </c>
      <c r="L136" s="31" t="s">
        <v>90</v>
      </c>
      <c r="M136" s="32" t="n">
        <v>44635</v>
      </c>
      <c r="N136" s="33" t="n">
        <f aca="false">H136*I136</f>
        <v>3499.95</v>
      </c>
      <c r="O136" s="31" t="n">
        <f aca="true">DATEDIF(B136,TODAY(),"d")</f>
        <v>715</v>
      </c>
      <c r="P136" s="32" t="n">
        <f aca="false">EOMONTH(B136,0)</f>
        <v>45596</v>
      </c>
      <c r="Q136" s="31" t="str">
        <f aca="false">IF(K136=Filter!$B$2,COUNTIF(K$2:K136,Filter!$B$2),"")</f>
        <v/>
      </c>
    </row>
    <row r="137" customFormat="false" ht="15" hidden="false" customHeight="false" outlineLevel="0" collapsed="false">
      <c r="A137" s="31" t="s">
        <v>339</v>
      </c>
      <c r="B137" s="32" t="n">
        <v>45592</v>
      </c>
      <c r="C137" s="31" t="s">
        <v>234</v>
      </c>
      <c r="D137" s="31" t="s">
        <v>235</v>
      </c>
      <c r="E137" s="31" t="s">
        <v>180</v>
      </c>
      <c r="F137" s="31" t="s">
        <v>181</v>
      </c>
      <c r="G137" s="31" t="s">
        <v>82</v>
      </c>
      <c r="H137" s="31" t="n">
        <v>3</v>
      </c>
      <c r="I137" s="33" t="n">
        <v>89.99</v>
      </c>
      <c r="J137" s="31" t="s">
        <v>89</v>
      </c>
      <c r="K137" s="31" t="s">
        <v>103</v>
      </c>
      <c r="L137" s="31" t="s">
        <v>99</v>
      </c>
      <c r="M137" s="32" t="n">
        <v>44615</v>
      </c>
      <c r="N137" s="33" t="n">
        <f aca="false">H137*I137</f>
        <v>269.97</v>
      </c>
      <c r="O137" s="31" t="n">
        <f aca="true">DATEDIF(B137,TODAY(),"d")</f>
        <v>712</v>
      </c>
      <c r="P137" s="32" t="n">
        <f aca="false">EOMONTH(B137,0)</f>
        <v>45596</v>
      </c>
      <c r="Q137" s="31" t="str">
        <f aca="false">IF(K137=Filter!$B$2,COUNTIF(K$2:K137,Filter!$B$2),"")</f>
        <v/>
      </c>
    </row>
    <row r="138" customFormat="false" ht="15" hidden="false" customHeight="false" outlineLevel="0" collapsed="false">
      <c r="A138" s="31" t="s">
        <v>340</v>
      </c>
      <c r="B138" s="32" t="n">
        <v>45597</v>
      </c>
      <c r="C138" s="31" t="s">
        <v>78</v>
      </c>
      <c r="D138" s="31" t="s">
        <v>79</v>
      </c>
      <c r="E138" s="31" t="s">
        <v>80</v>
      </c>
      <c r="F138" s="31" t="s">
        <v>81</v>
      </c>
      <c r="G138" s="31" t="s">
        <v>82</v>
      </c>
      <c r="H138" s="31" t="n">
        <v>5</v>
      </c>
      <c r="I138" s="33" t="n">
        <v>249.99</v>
      </c>
      <c r="J138" s="31" t="s">
        <v>89</v>
      </c>
      <c r="K138" s="31" t="s">
        <v>98</v>
      </c>
      <c r="L138" s="31" t="s">
        <v>99</v>
      </c>
      <c r="M138" s="32" t="n">
        <v>44881</v>
      </c>
      <c r="N138" s="33" t="n">
        <f aca="false">H138*I138</f>
        <v>1249.95</v>
      </c>
      <c r="O138" s="31" t="n">
        <f aca="true">DATEDIF(B138,TODAY(),"d")</f>
        <v>707</v>
      </c>
      <c r="P138" s="32" t="n">
        <f aca="false">EOMONTH(B138,0)</f>
        <v>45626</v>
      </c>
      <c r="Q138" s="31" t="str">
        <f aca="false">IF(K138=Filter!$B$2,COUNTIF(K$2:K138,Filter!$B$2),"")</f>
        <v/>
      </c>
    </row>
    <row r="139" customFormat="false" ht="15" hidden="false" customHeight="false" outlineLevel="0" collapsed="false">
      <c r="A139" s="31" t="s">
        <v>341</v>
      </c>
      <c r="B139" s="32" t="n">
        <v>45600</v>
      </c>
      <c r="C139" s="31" t="s">
        <v>128</v>
      </c>
      <c r="D139" s="31" t="s">
        <v>129</v>
      </c>
      <c r="E139" s="31" t="s">
        <v>168</v>
      </c>
      <c r="F139" s="31" t="s">
        <v>169</v>
      </c>
      <c r="G139" s="31" t="s">
        <v>109</v>
      </c>
      <c r="H139" s="31" t="n">
        <v>3</v>
      </c>
      <c r="I139" s="33" t="n">
        <v>299.99</v>
      </c>
      <c r="J139" s="31" t="s">
        <v>89</v>
      </c>
      <c r="K139" s="31" t="s">
        <v>98</v>
      </c>
      <c r="L139" s="31" t="s">
        <v>99</v>
      </c>
      <c r="M139" s="32" t="n">
        <v>44502</v>
      </c>
      <c r="N139" s="33" t="n">
        <f aca="false">H139*I139</f>
        <v>899.97</v>
      </c>
      <c r="O139" s="31" t="n">
        <f aca="true">DATEDIF(B139,TODAY(),"d")</f>
        <v>704</v>
      </c>
      <c r="P139" s="32" t="n">
        <f aca="false">EOMONTH(B139,0)</f>
        <v>45626</v>
      </c>
      <c r="Q139" s="31" t="str">
        <f aca="false">IF(K139=Filter!$B$2,COUNTIF(K$2:K139,Filter!$B$2),"")</f>
        <v/>
      </c>
    </row>
    <row r="140" customFormat="false" ht="15" hidden="false" customHeight="false" outlineLevel="0" collapsed="false">
      <c r="A140" s="31" t="s">
        <v>342</v>
      </c>
      <c r="B140" s="32" t="n">
        <v>45603</v>
      </c>
      <c r="C140" s="31" t="s">
        <v>162</v>
      </c>
      <c r="D140" s="31" t="s">
        <v>163</v>
      </c>
      <c r="E140" s="31" t="s">
        <v>180</v>
      </c>
      <c r="F140" s="31" t="s">
        <v>181</v>
      </c>
      <c r="G140" s="31" t="s">
        <v>82</v>
      </c>
      <c r="H140" s="31" t="n">
        <v>3</v>
      </c>
      <c r="I140" s="33" t="n">
        <v>89.99</v>
      </c>
      <c r="J140" s="31" t="s">
        <v>89</v>
      </c>
      <c r="K140" s="31" t="s">
        <v>103</v>
      </c>
      <c r="L140" s="31" t="s">
        <v>90</v>
      </c>
      <c r="M140" s="32" t="n">
        <v>44420</v>
      </c>
      <c r="N140" s="33" t="n">
        <f aca="false">H140*I140</f>
        <v>269.97</v>
      </c>
      <c r="O140" s="31" t="n">
        <f aca="true">DATEDIF(B140,TODAY(),"d")</f>
        <v>701</v>
      </c>
      <c r="P140" s="32" t="n">
        <f aca="false">EOMONTH(B140,0)</f>
        <v>45626</v>
      </c>
      <c r="Q140" s="31" t="str">
        <f aca="false">IF(K140=Filter!$B$2,COUNTIF(K$2:K140,Filter!$B$2),"")</f>
        <v/>
      </c>
    </row>
    <row r="141" customFormat="false" ht="15" hidden="false" customHeight="false" outlineLevel="0" collapsed="false">
      <c r="A141" s="31" t="s">
        <v>343</v>
      </c>
      <c r="B141" s="32" t="n">
        <v>45604</v>
      </c>
      <c r="C141" s="31" t="s">
        <v>152</v>
      </c>
      <c r="D141" s="31" t="s">
        <v>153</v>
      </c>
      <c r="E141" s="31" t="s">
        <v>107</v>
      </c>
      <c r="F141" s="31" t="s">
        <v>108</v>
      </c>
      <c r="G141" s="31" t="s">
        <v>109</v>
      </c>
      <c r="H141" s="31" t="n">
        <v>2</v>
      </c>
      <c r="I141" s="33" t="n">
        <v>149.99</v>
      </c>
      <c r="J141" s="31" t="s">
        <v>89</v>
      </c>
      <c r="K141" s="31" t="s">
        <v>113</v>
      </c>
      <c r="L141" s="31" t="s">
        <v>90</v>
      </c>
      <c r="M141" s="32" t="n">
        <v>44848</v>
      </c>
      <c r="N141" s="33" t="n">
        <f aca="false">H141*I141</f>
        <v>299.98</v>
      </c>
      <c r="O141" s="31" t="n">
        <f aca="true">DATEDIF(B141,TODAY(),"d")</f>
        <v>700</v>
      </c>
      <c r="P141" s="32" t="n">
        <f aca="false">EOMONTH(B141,0)</f>
        <v>45626</v>
      </c>
      <c r="Q141" s="31" t="n">
        <f aca="false">IF(K141=Filter!$B$2,COUNTIF(K$2:K141,Filter!$B$2),"")</f>
        <v>24</v>
      </c>
    </row>
    <row r="142" customFormat="false" ht="15" hidden="false" customHeight="false" outlineLevel="0" collapsed="false">
      <c r="A142" s="31" t="s">
        <v>344</v>
      </c>
      <c r="B142" s="32" t="n">
        <v>45605</v>
      </c>
      <c r="C142" s="31" t="s">
        <v>248</v>
      </c>
      <c r="D142" s="31" t="s">
        <v>249</v>
      </c>
      <c r="E142" s="31" t="s">
        <v>80</v>
      </c>
      <c r="F142" s="31" t="s">
        <v>81</v>
      </c>
      <c r="G142" s="31" t="s">
        <v>82</v>
      </c>
      <c r="H142" s="31" t="n">
        <v>1</v>
      </c>
      <c r="I142" s="33" t="n">
        <v>249.99</v>
      </c>
      <c r="J142" s="31" t="s">
        <v>89</v>
      </c>
      <c r="K142" s="31" t="s">
        <v>103</v>
      </c>
      <c r="L142" s="31" t="s">
        <v>90</v>
      </c>
      <c r="M142" s="32" t="n">
        <v>44828</v>
      </c>
      <c r="N142" s="33" t="n">
        <f aca="false">H142*I142</f>
        <v>249.99</v>
      </c>
      <c r="O142" s="31" t="n">
        <f aca="true">DATEDIF(B142,TODAY(),"d")</f>
        <v>699</v>
      </c>
      <c r="P142" s="32" t="n">
        <f aca="false">EOMONTH(B142,0)</f>
        <v>45626</v>
      </c>
      <c r="Q142" s="31" t="str">
        <f aca="false">IF(K142=Filter!$B$2,COUNTIF(K$2:K142,Filter!$B$2),"")</f>
        <v/>
      </c>
    </row>
    <row r="143" customFormat="false" ht="15" hidden="false" customHeight="false" outlineLevel="0" collapsed="false">
      <c r="A143" s="31" t="s">
        <v>345</v>
      </c>
      <c r="B143" s="32" t="n">
        <v>45607</v>
      </c>
      <c r="C143" s="31" t="s">
        <v>135</v>
      </c>
      <c r="D143" s="31" t="s">
        <v>136</v>
      </c>
      <c r="E143" s="31" t="s">
        <v>115</v>
      </c>
      <c r="F143" s="31" t="s">
        <v>116</v>
      </c>
      <c r="G143" s="31" t="s">
        <v>82</v>
      </c>
      <c r="H143" s="31" t="n">
        <v>3</v>
      </c>
      <c r="I143" s="33" t="n">
        <v>149.99</v>
      </c>
      <c r="J143" s="31" t="s">
        <v>83</v>
      </c>
      <c r="K143" s="31" t="s">
        <v>103</v>
      </c>
      <c r="L143" s="31" t="s">
        <v>85</v>
      </c>
      <c r="M143" s="32" t="n">
        <v>44769</v>
      </c>
      <c r="N143" s="33" t="n">
        <f aca="false">H143*I143</f>
        <v>449.97</v>
      </c>
      <c r="O143" s="31" t="n">
        <f aca="true">DATEDIF(B143,TODAY(),"d")</f>
        <v>697</v>
      </c>
      <c r="P143" s="32" t="n">
        <f aca="false">EOMONTH(B143,0)</f>
        <v>45626</v>
      </c>
      <c r="Q143" s="31" t="str">
        <f aca="false">IF(K143=Filter!$B$2,COUNTIF(K$2:K143,Filter!$B$2),"")</f>
        <v/>
      </c>
    </row>
    <row r="144" customFormat="false" ht="15" hidden="false" customHeight="false" outlineLevel="0" collapsed="false">
      <c r="A144" s="31" t="s">
        <v>346</v>
      </c>
      <c r="B144" s="32" t="n">
        <v>45607</v>
      </c>
      <c r="C144" s="31" t="s">
        <v>78</v>
      </c>
      <c r="D144" s="31" t="s">
        <v>79</v>
      </c>
      <c r="E144" s="31" t="s">
        <v>94</v>
      </c>
      <c r="F144" s="31" t="s">
        <v>95</v>
      </c>
      <c r="G144" s="31" t="s">
        <v>96</v>
      </c>
      <c r="H144" s="31" t="n">
        <v>5</v>
      </c>
      <c r="I144" s="33" t="n">
        <v>59.99</v>
      </c>
      <c r="J144" s="31" t="s">
        <v>97</v>
      </c>
      <c r="K144" s="31" t="s">
        <v>113</v>
      </c>
      <c r="L144" s="31" t="s">
        <v>90</v>
      </c>
      <c r="M144" s="32" t="n">
        <v>44694</v>
      </c>
      <c r="N144" s="33" t="n">
        <f aca="false">H144*I144</f>
        <v>299.95</v>
      </c>
      <c r="O144" s="31" t="n">
        <f aca="true">DATEDIF(B144,TODAY(),"d")</f>
        <v>697</v>
      </c>
      <c r="P144" s="32" t="n">
        <f aca="false">EOMONTH(B144,0)</f>
        <v>45626</v>
      </c>
      <c r="Q144" s="31" t="n">
        <f aca="false">IF(K144=Filter!$B$2,COUNTIF(K$2:K144,Filter!$B$2),"")</f>
        <v>25</v>
      </c>
    </row>
    <row r="145" customFormat="false" ht="15" hidden="false" customHeight="false" outlineLevel="0" collapsed="false">
      <c r="A145" s="31" t="s">
        <v>347</v>
      </c>
      <c r="B145" s="32" t="n">
        <v>45607</v>
      </c>
      <c r="C145" s="31" t="s">
        <v>162</v>
      </c>
      <c r="D145" s="31" t="s">
        <v>163</v>
      </c>
      <c r="E145" s="31" t="s">
        <v>80</v>
      </c>
      <c r="F145" s="31" t="s">
        <v>81</v>
      </c>
      <c r="G145" s="31" t="s">
        <v>82</v>
      </c>
      <c r="H145" s="31" t="n">
        <v>4</v>
      </c>
      <c r="I145" s="33" t="n">
        <v>249.99</v>
      </c>
      <c r="J145" s="31" t="s">
        <v>89</v>
      </c>
      <c r="K145" s="31" t="s">
        <v>113</v>
      </c>
      <c r="L145" s="31" t="s">
        <v>99</v>
      </c>
      <c r="M145" s="32" t="n">
        <v>44659</v>
      </c>
      <c r="N145" s="33" t="n">
        <f aca="false">H145*I145</f>
        <v>999.96</v>
      </c>
      <c r="O145" s="31" t="n">
        <f aca="true">DATEDIF(B145,TODAY(),"d")</f>
        <v>697</v>
      </c>
      <c r="P145" s="32" t="n">
        <f aca="false">EOMONTH(B145,0)</f>
        <v>45626</v>
      </c>
      <c r="Q145" s="31" t="n">
        <f aca="false">IF(K145=Filter!$B$2,COUNTIF(K$2:K145,Filter!$B$2),"")</f>
        <v>26</v>
      </c>
    </row>
    <row r="146" customFormat="false" ht="15" hidden="false" customHeight="false" outlineLevel="0" collapsed="false">
      <c r="A146" s="31" t="s">
        <v>348</v>
      </c>
      <c r="B146" s="32" t="n">
        <v>45608</v>
      </c>
      <c r="C146" s="31" t="s">
        <v>217</v>
      </c>
      <c r="D146" s="31" t="s">
        <v>218</v>
      </c>
      <c r="E146" s="31" t="s">
        <v>107</v>
      </c>
      <c r="F146" s="31" t="s">
        <v>108</v>
      </c>
      <c r="G146" s="31" t="s">
        <v>109</v>
      </c>
      <c r="H146" s="31" t="n">
        <v>5</v>
      </c>
      <c r="I146" s="33" t="n">
        <v>149.99</v>
      </c>
      <c r="J146" s="31" t="s">
        <v>97</v>
      </c>
      <c r="K146" s="31" t="s">
        <v>84</v>
      </c>
      <c r="L146" s="31" t="s">
        <v>85</v>
      </c>
      <c r="M146" s="32" t="n">
        <v>44901</v>
      </c>
      <c r="N146" s="33" t="n">
        <f aca="false">H146*I146</f>
        <v>749.95</v>
      </c>
      <c r="O146" s="31" t="n">
        <f aca="true">DATEDIF(B146,TODAY(),"d")</f>
        <v>696</v>
      </c>
      <c r="P146" s="32" t="n">
        <f aca="false">EOMONTH(B146,0)</f>
        <v>45626</v>
      </c>
      <c r="Q146" s="31" t="str">
        <f aca="false">IF(K146=Filter!$B$2,COUNTIF(K$2:K146,Filter!$B$2),"")</f>
        <v/>
      </c>
    </row>
    <row r="147" customFormat="false" ht="15" hidden="false" customHeight="false" outlineLevel="0" collapsed="false">
      <c r="A147" s="31" t="s">
        <v>349</v>
      </c>
      <c r="B147" s="32" t="n">
        <v>45608</v>
      </c>
      <c r="C147" s="31" t="s">
        <v>146</v>
      </c>
      <c r="D147" s="31" t="s">
        <v>147</v>
      </c>
      <c r="E147" s="31" t="s">
        <v>94</v>
      </c>
      <c r="F147" s="31" t="s">
        <v>95</v>
      </c>
      <c r="G147" s="31" t="s">
        <v>96</v>
      </c>
      <c r="H147" s="31" t="n">
        <v>3</v>
      </c>
      <c r="I147" s="33" t="n">
        <v>59.99</v>
      </c>
      <c r="J147" s="31" t="s">
        <v>120</v>
      </c>
      <c r="K147" s="31" t="s">
        <v>98</v>
      </c>
      <c r="L147" s="31" t="s">
        <v>99</v>
      </c>
      <c r="M147" s="32" t="n">
        <v>45260</v>
      </c>
      <c r="N147" s="33" t="n">
        <f aca="false">H147*I147</f>
        <v>179.97</v>
      </c>
      <c r="O147" s="31" t="n">
        <f aca="true">DATEDIF(B147,TODAY(),"d")</f>
        <v>696</v>
      </c>
      <c r="P147" s="32" t="n">
        <f aca="false">EOMONTH(B147,0)</f>
        <v>45626</v>
      </c>
      <c r="Q147" s="31" t="str">
        <f aca="false">IF(K147=Filter!$B$2,COUNTIF(K$2:K147,Filter!$B$2),"")</f>
        <v/>
      </c>
    </row>
    <row r="148" customFormat="false" ht="15" hidden="false" customHeight="false" outlineLevel="0" collapsed="false">
      <c r="A148" s="31" t="s">
        <v>350</v>
      </c>
      <c r="B148" s="32" t="n">
        <v>45613</v>
      </c>
      <c r="C148" s="31" t="s">
        <v>297</v>
      </c>
      <c r="D148" s="31" t="s">
        <v>298</v>
      </c>
      <c r="E148" s="31" t="s">
        <v>107</v>
      </c>
      <c r="F148" s="31" t="s">
        <v>108</v>
      </c>
      <c r="G148" s="31" t="s">
        <v>109</v>
      </c>
      <c r="H148" s="31" t="n">
        <v>5</v>
      </c>
      <c r="I148" s="33" t="n">
        <v>149.99</v>
      </c>
      <c r="J148" s="31" t="s">
        <v>83</v>
      </c>
      <c r="K148" s="31" t="s">
        <v>103</v>
      </c>
      <c r="L148" s="31" t="s">
        <v>85</v>
      </c>
      <c r="M148" s="32" t="n">
        <v>44869</v>
      </c>
      <c r="N148" s="33" t="n">
        <f aca="false">H148*I148</f>
        <v>749.95</v>
      </c>
      <c r="O148" s="31" t="n">
        <f aca="true">DATEDIF(B148,TODAY(),"d")</f>
        <v>691</v>
      </c>
      <c r="P148" s="32" t="n">
        <f aca="false">EOMONTH(B148,0)</f>
        <v>45626</v>
      </c>
      <c r="Q148" s="31" t="str">
        <f aca="false">IF(K148=Filter!$B$2,COUNTIF(K$2:K148,Filter!$B$2),"")</f>
        <v/>
      </c>
    </row>
    <row r="149" customFormat="false" ht="15" hidden="false" customHeight="false" outlineLevel="0" collapsed="false">
      <c r="A149" s="31" t="s">
        <v>351</v>
      </c>
      <c r="B149" s="32" t="n">
        <v>45613</v>
      </c>
      <c r="C149" s="31" t="s">
        <v>149</v>
      </c>
      <c r="D149" s="31" t="s">
        <v>150</v>
      </c>
      <c r="E149" s="31" t="s">
        <v>143</v>
      </c>
      <c r="F149" s="31" t="s">
        <v>144</v>
      </c>
      <c r="G149" s="31" t="s">
        <v>82</v>
      </c>
      <c r="H149" s="31" t="n">
        <v>2</v>
      </c>
      <c r="I149" s="33" t="n">
        <v>699.99</v>
      </c>
      <c r="J149" s="31" t="s">
        <v>97</v>
      </c>
      <c r="K149" s="31" t="s">
        <v>113</v>
      </c>
      <c r="L149" s="31" t="s">
        <v>99</v>
      </c>
      <c r="M149" s="32" t="n">
        <v>44770</v>
      </c>
      <c r="N149" s="33" t="n">
        <f aca="false">H149*I149</f>
        <v>1399.98</v>
      </c>
      <c r="O149" s="31" t="n">
        <f aca="true">DATEDIF(B149,TODAY(),"d")</f>
        <v>691</v>
      </c>
      <c r="P149" s="32" t="n">
        <f aca="false">EOMONTH(B149,0)</f>
        <v>45626</v>
      </c>
      <c r="Q149" s="31" t="n">
        <f aca="false">IF(K149=Filter!$B$2,COUNTIF(K$2:K149,Filter!$B$2),"")</f>
        <v>27</v>
      </c>
    </row>
    <row r="150" customFormat="false" ht="15" hidden="false" customHeight="false" outlineLevel="0" collapsed="false">
      <c r="A150" s="31" t="s">
        <v>352</v>
      </c>
      <c r="B150" s="32" t="n">
        <v>45617</v>
      </c>
      <c r="C150" s="31" t="s">
        <v>186</v>
      </c>
      <c r="D150" s="31" t="s">
        <v>187</v>
      </c>
      <c r="E150" s="31" t="s">
        <v>189</v>
      </c>
      <c r="F150" s="31" t="s">
        <v>190</v>
      </c>
      <c r="G150" s="31" t="s">
        <v>109</v>
      </c>
      <c r="H150" s="31" t="n">
        <v>4</v>
      </c>
      <c r="I150" s="33" t="n">
        <v>199.99</v>
      </c>
      <c r="J150" s="31" t="s">
        <v>120</v>
      </c>
      <c r="K150" s="31" t="s">
        <v>84</v>
      </c>
      <c r="L150" s="31" t="s">
        <v>90</v>
      </c>
      <c r="M150" s="32" t="n">
        <v>44427</v>
      </c>
      <c r="N150" s="33" t="n">
        <f aca="false">H150*I150</f>
        <v>799.96</v>
      </c>
      <c r="O150" s="31" t="n">
        <f aca="true">DATEDIF(B150,TODAY(),"d")</f>
        <v>687</v>
      </c>
      <c r="P150" s="32" t="n">
        <f aca="false">EOMONTH(B150,0)</f>
        <v>45626</v>
      </c>
      <c r="Q150" s="31" t="str">
        <f aca="false">IF(K150=Filter!$B$2,COUNTIF(K$2:K150,Filter!$B$2),"")</f>
        <v/>
      </c>
    </row>
    <row r="151" customFormat="false" ht="15" hidden="false" customHeight="false" outlineLevel="0" collapsed="false">
      <c r="A151" s="31" t="s">
        <v>353</v>
      </c>
      <c r="B151" s="32" t="n">
        <v>45619</v>
      </c>
      <c r="C151" s="31" t="s">
        <v>255</v>
      </c>
      <c r="D151" s="31" t="s">
        <v>256</v>
      </c>
      <c r="E151" s="31" t="s">
        <v>94</v>
      </c>
      <c r="F151" s="31" t="s">
        <v>95</v>
      </c>
      <c r="G151" s="31" t="s">
        <v>96</v>
      </c>
      <c r="H151" s="31" t="n">
        <v>1</v>
      </c>
      <c r="I151" s="33" t="n">
        <v>59.99</v>
      </c>
      <c r="J151" s="31" t="s">
        <v>120</v>
      </c>
      <c r="K151" s="31" t="s">
        <v>113</v>
      </c>
      <c r="L151" s="31" t="s">
        <v>99</v>
      </c>
      <c r="M151" s="32" t="n">
        <v>44560</v>
      </c>
      <c r="N151" s="33" t="n">
        <f aca="false">H151*I151</f>
        <v>59.99</v>
      </c>
      <c r="O151" s="31" t="n">
        <f aca="true">DATEDIF(B151,TODAY(),"d")</f>
        <v>685</v>
      </c>
      <c r="P151" s="32" t="n">
        <f aca="false">EOMONTH(B151,0)</f>
        <v>45626</v>
      </c>
      <c r="Q151" s="31" t="n">
        <f aca="false">IF(K151=Filter!$B$2,COUNTIF(K$2:K151,Filter!$B$2),"")</f>
        <v>28</v>
      </c>
    </row>
    <row r="152" customFormat="false" ht="15" hidden="false" customHeight="false" outlineLevel="0" collapsed="false">
      <c r="A152" s="31" t="s">
        <v>354</v>
      </c>
      <c r="B152" s="32" t="n">
        <v>45619</v>
      </c>
      <c r="C152" s="31" t="s">
        <v>217</v>
      </c>
      <c r="D152" s="31" t="s">
        <v>218</v>
      </c>
      <c r="E152" s="31" t="s">
        <v>143</v>
      </c>
      <c r="F152" s="31" t="s">
        <v>144</v>
      </c>
      <c r="G152" s="31" t="s">
        <v>82</v>
      </c>
      <c r="H152" s="31" t="n">
        <v>3</v>
      </c>
      <c r="I152" s="33" t="n">
        <v>699.99</v>
      </c>
      <c r="J152" s="31" t="s">
        <v>97</v>
      </c>
      <c r="K152" s="31" t="s">
        <v>113</v>
      </c>
      <c r="L152" s="31" t="s">
        <v>99</v>
      </c>
      <c r="M152" s="32" t="n">
        <v>44583</v>
      </c>
      <c r="N152" s="33" t="n">
        <f aca="false">H152*I152</f>
        <v>2099.97</v>
      </c>
      <c r="O152" s="31" t="n">
        <f aca="true">DATEDIF(B152,TODAY(),"d")</f>
        <v>685</v>
      </c>
      <c r="P152" s="32" t="n">
        <f aca="false">EOMONTH(B152,0)</f>
        <v>45626</v>
      </c>
      <c r="Q152" s="31" t="n">
        <f aca="false">IF(K152=Filter!$B$2,COUNTIF(K$2:K152,Filter!$B$2),"")</f>
        <v>29</v>
      </c>
    </row>
    <row r="153" customFormat="false" ht="15" hidden="false" customHeight="false" outlineLevel="0" collapsed="false">
      <c r="A153" s="31" t="s">
        <v>355</v>
      </c>
      <c r="B153" s="32" t="n">
        <v>45622</v>
      </c>
      <c r="C153" s="31" t="s">
        <v>356</v>
      </c>
      <c r="D153" s="31" t="s">
        <v>357</v>
      </c>
      <c r="E153" s="31" t="s">
        <v>80</v>
      </c>
      <c r="F153" s="31" t="s">
        <v>81</v>
      </c>
      <c r="G153" s="31" t="s">
        <v>82</v>
      </c>
      <c r="H153" s="31" t="n">
        <v>5</v>
      </c>
      <c r="I153" s="33" t="n">
        <v>249.99</v>
      </c>
      <c r="J153" s="31" t="s">
        <v>89</v>
      </c>
      <c r="K153" s="31" t="s">
        <v>103</v>
      </c>
      <c r="L153" s="31" t="s">
        <v>85</v>
      </c>
      <c r="M153" s="32" t="n">
        <v>44873</v>
      </c>
      <c r="N153" s="33" t="n">
        <f aca="false">H153*I153</f>
        <v>1249.95</v>
      </c>
      <c r="O153" s="31" t="n">
        <f aca="true">DATEDIF(B153,TODAY(),"d")</f>
        <v>682</v>
      </c>
      <c r="P153" s="32" t="n">
        <f aca="false">EOMONTH(B153,0)</f>
        <v>45626</v>
      </c>
      <c r="Q153" s="31" t="str">
        <f aca="false">IF(K153=Filter!$B$2,COUNTIF(K$2:K153,Filter!$B$2),"")</f>
        <v/>
      </c>
    </row>
    <row r="154" customFormat="false" ht="15" hidden="false" customHeight="false" outlineLevel="0" collapsed="false">
      <c r="A154" s="31" t="s">
        <v>358</v>
      </c>
      <c r="B154" s="32" t="n">
        <v>45623</v>
      </c>
      <c r="C154" s="31" t="s">
        <v>175</v>
      </c>
      <c r="D154" s="31" t="s">
        <v>176</v>
      </c>
      <c r="E154" s="31" t="s">
        <v>107</v>
      </c>
      <c r="F154" s="31" t="s">
        <v>108</v>
      </c>
      <c r="G154" s="31" t="s">
        <v>109</v>
      </c>
      <c r="H154" s="31" t="n">
        <v>2</v>
      </c>
      <c r="I154" s="33" t="n">
        <v>149.99</v>
      </c>
      <c r="J154" s="31" t="s">
        <v>83</v>
      </c>
      <c r="K154" s="31" t="s">
        <v>98</v>
      </c>
      <c r="L154" s="31" t="s">
        <v>99</v>
      </c>
      <c r="M154" s="32" t="n">
        <v>45101</v>
      </c>
      <c r="N154" s="33" t="n">
        <f aca="false">H154*I154</f>
        <v>299.98</v>
      </c>
      <c r="O154" s="31" t="n">
        <f aca="true">DATEDIF(B154,TODAY(),"d")</f>
        <v>681</v>
      </c>
      <c r="P154" s="32" t="n">
        <f aca="false">EOMONTH(B154,0)</f>
        <v>45626</v>
      </c>
      <c r="Q154" s="31" t="str">
        <f aca="false">IF(K154=Filter!$B$2,COUNTIF(K$2:K154,Filter!$B$2),"")</f>
        <v/>
      </c>
    </row>
    <row r="155" customFormat="false" ht="15" hidden="false" customHeight="false" outlineLevel="0" collapsed="false">
      <c r="A155" s="31" t="s">
        <v>359</v>
      </c>
      <c r="B155" s="32" t="n">
        <v>45627</v>
      </c>
      <c r="C155" s="31" t="s">
        <v>92</v>
      </c>
      <c r="D155" s="31" t="s">
        <v>93</v>
      </c>
      <c r="E155" s="31" t="s">
        <v>168</v>
      </c>
      <c r="F155" s="31" t="s">
        <v>169</v>
      </c>
      <c r="G155" s="31" t="s">
        <v>109</v>
      </c>
      <c r="H155" s="31" t="n">
        <v>3</v>
      </c>
      <c r="I155" s="33" t="n">
        <v>299.99</v>
      </c>
      <c r="J155" s="31" t="s">
        <v>83</v>
      </c>
      <c r="K155" s="31" t="s">
        <v>98</v>
      </c>
      <c r="L155" s="31" t="s">
        <v>90</v>
      </c>
      <c r="M155" s="32" t="n">
        <v>44659</v>
      </c>
      <c r="N155" s="33" t="n">
        <f aca="false">H155*I155</f>
        <v>899.97</v>
      </c>
      <c r="O155" s="31" t="n">
        <f aca="true">DATEDIF(B155,TODAY(),"d")</f>
        <v>677</v>
      </c>
      <c r="P155" s="32" t="n">
        <f aca="false">EOMONTH(B155,0)</f>
        <v>45657</v>
      </c>
      <c r="Q155" s="31" t="str">
        <f aca="false">IF(K155=Filter!$B$2,COUNTIF(K$2:K155,Filter!$B$2),"")</f>
        <v/>
      </c>
    </row>
    <row r="156" customFormat="false" ht="15" hidden="false" customHeight="false" outlineLevel="0" collapsed="false">
      <c r="A156" s="31" t="s">
        <v>360</v>
      </c>
      <c r="B156" s="32" t="n">
        <v>45627</v>
      </c>
      <c r="C156" s="31" t="s">
        <v>118</v>
      </c>
      <c r="D156" s="31" t="s">
        <v>119</v>
      </c>
      <c r="E156" s="31" t="s">
        <v>80</v>
      </c>
      <c r="F156" s="31" t="s">
        <v>81</v>
      </c>
      <c r="G156" s="31" t="s">
        <v>82</v>
      </c>
      <c r="H156" s="31" t="n">
        <v>5</v>
      </c>
      <c r="I156" s="33" t="n">
        <v>249.99</v>
      </c>
      <c r="J156" s="31" t="s">
        <v>83</v>
      </c>
      <c r="K156" s="31" t="s">
        <v>84</v>
      </c>
      <c r="L156" s="31" t="s">
        <v>90</v>
      </c>
      <c r="M156" s="32" t="n">
        <v>44485</v>
      </c>
      <c r="N156" s="33" t="n">
        <f aca="false">H156*I156</f>
        <v>1249.95</v>
      </c>
      <c r="O156" s="31" t="n">
        <f aca="true">DATEDIF(B156,TODAY(),"d")</f>
        <v>677</v>
      </c>
      <c r="P156" s="32" t="n">
        <f aca="false">EOMONTH(B156,0)</f>
        <v>45657</v>
      </c>
      <c r="Q156" s="31" t="str">
        <f aca="false">IF(K156=Filter!$B$2,COUNTIF(K$2:K156,Filter!$B$2),"")</f>
        <v/>
      </c>
    </row>
    <row r="157" customFormat="false" ht="15" hidden="false" customHeight="false" outlineLevel="0" collapsed="false">
      <c r="A157" s="31" t="s">
        <v>361</v>
      </c>
      <c r="B157" s="32" t="n">
        <v>45627</v>
      </c>
      <c r="C157" s="31" t="s">
        <v>87</v>
      </c>
      <c r="D157" s="31" t="s">
        <v>88</v>
      </c>
      <c r="E157" s="31" t="s">
        <v>115</v>
      </c>
      <c r="F157" s="31" t="s">
        <v>116</v>
      </c>
      <c r="G157" s="31" t="s">
        <v>82</v>
      </c>
      <c r="H157" s="31" t="n">
        <v>2</v>
      </c>
      <c r="I157" s="33" t="n">
        <v>149.99</v>
      </c>
      <c r="J157" s="31" t="s">
        <v>83</v>
      </c>
      <c r="K157" s="31" t="s">
        <v>98</v>
      </c>
      <c r="L157" s="31" t="s">
        <v>90</v>
      </c>
      <c r="M157" s="32" t="n">
        <v>44475</v>
      </c>
      <c r="N157" s="33" t="n">
        <f aca="false">H157*I157</f>
        <v>299.98</v>
      </c>
      <c r="O157" s="31" t="n">
        <f aca="true">DATEDIF(B157,TODAY(),"d")</f>
        <v>677</v>
      </c>
      <c r="P157" s="32" t="n">
        <f aca="false">EOMONTH(B157,0)</f>
        <v>45657</v>
      </c>
      <c r="Q157" s="31" t="str">
        <f aca="false">IF(K157=Filter!$B$2,COUNTIF(K$2:K157,Filter!$B$2),"")</f>
        <v/>
      </c>
    </row>
    <row r="158" customFormat="false" ht="15" hidden="false" customHeight="false" outlineLevel="0" collapsed="false">
      <c r="A158" s="31" t="s">
        <v>362</v>
      </c>
      <c r="B158" s="32" t="n">
        <v>45627</v>
      </c>
      <c r="C158" s="31" t="s">
        <v>149</v>
      </c>
      <c r="D158" s="31" t="s">
        <v>150</v>
      </c>
      <c r="E158" s="31" t="s">
        <v>143</v>
      </c>
      <c r="F158" s="31" t="s">
        <v>144</v>
      </c>
      <c r="G158" s="31" t="s">
        <v>82</v>
      </c>
      <c r="H158" s="31" t="n">
        <v>5</v>
      </c>
      <c r="I158" s="33" t="n">
        <v>699.99</v>
      </c>
      <c r="J158" s="31" t="s">
        <v>120</v>
      </c>
      <c r="K158" s="31" t="s">
        <v>113</v>
      </c>
      <c r="L158" s="31" t="s">
        <v>99</v>
      </c>
      <c r="M158" s="32" t="n">
        <v>44944</v>
      </c>
      <c r="N158" s="33" t="n">
        <f aca="false">H158*I158</f>
        <v>3499.95</v>
      </c>
      <c r="O158" s="31" t="n">
        <f aca="true">DATEDIF(B158,TODAY(),"d")</f>
        <v>677</v>
      </c>
      <c r="P158" s="32" t="n">
        <f aca="false">EOMONTH(B158,0)</f>
        <v>45657</v>
      </c>
      <c r="Q158" s="31" t="n">
        <f aca="false">IF(K158=Filter!$B$2,COUNTIF(K$2:K158,Filter!$B$2),"")</f>
        <v>30</v>
      </c>
    </row>
    <row r="159" customFormat="false" ht="15" hidden="false" customHeight="false" outlineLevel="0" collapsed="false">
      <c r="A159" s="31" t="s">
        <v>363</v>
      </c>
      <c r="B159" s="32" t="n">
        <v>45629</v>
      </c>
      <c r="C159" s="31" t="s">
        <v>315</v>
      </c>
      <c r="D159" s="31" t="s">
        <v>316</v>
      </c>
      <c r="E159" s="31" t="s">
        <v>80</v>
      </c>
      <c r="F159" s="31" t="s">
        <v>81</v>
      </c>
      <c r="G159" s="31" t="s">
        <v>82</v>
      </c>
      <c r="H159" s="31" t="n">
        <v>4</v>
      </c>
      <c r="I159" s="33" t="n">
        <v>249.99</v>
      </c>
      <c r="J159" s="31" t="s">
        <v>97</v>
      </c>
      <c r="K159" s="31" t="s">
        <v>126</v>
      </c>
      <c r="L159" s="31" t="s">
        <v>90</v>
      </c>
      <c r="M159" s="32" t="n">
        <v>45098</v>
      </c>
      <c r="N159" s="33" t="n">
        <f aca="false">H159*I159</f>
        <v>999.96</v>
      </c>
      <c r="O159" s="31" t="n">
        <f aca="true">DATEDIF(B159,TODAY(),"d")</f>
        <v>675</v>
      </c>
      <c r="P159" s="32" t="n">
        <f aca="false">EOMONTH(B159,0)</f>
        <v>45657</v>
      </c>
      <c r="Q159" s="31" t="str">
        <f aca="false">IF(K159=Filter!$B$2,COUNTIF(K$2:K159,Filter!$B$2),"")</f>
        <v/>
      </c>
    </row>
    <row r="160" customFormat="false" ht="15" hidden="false" customHeight="false" outlineLevel="0" collapsed="false">
      <c r="A160" s="31" t="s">
        <v>364</v>
      </c>
      <c r="B160" s="32" t="n">
        <v>45630</v>
      </c>
      <c r="C160" s="31" t="s">
        <v>111</v>
      </c>
      <c r="D160" s="31" t="s">
        <v>112</v>
      </c>
      <c r="E160" s="31" t="s">
        <v>143</v>
      </c>
      <c r="F160" s="31" t="s">
        <v>144</v>
      </c>
      <c r="G160" s="31" t="s">
        <v>82</v>
      </c>
      <c r="H160" s="31" t="n">
        <v>4</v>
      </c>
      <c r="I160" s="33" t="n">
        <v>699.99</v>
      </c>
      <c r="J160" s="31" t="s">
        <v>89</v>
      </c>
      <c r="K160" s="31" t="s">
        <v>103</v>
      </c>
      <c r="L160" s="31" t="s">
        <v>90</v>
      </c>
      <c r="M160" s="32" t="n">
        <v>44703</v>
      </c>
      <c r="N160" s="33" t="n">
        <f aca="false">H160*I160</f>
        <v>2799.96</v>
      </c>
      <c r="O160" s="31" t="n">
        <f aca="true">DATEDIF(B160,TODAY(),"d")</f>
        <v>674</v>
      </c>
      <c r="P160" s="32" t="n">
        <f aca="false">EOMONTH(B160,0)</f>
        <v>45657</v>
      </c>
      <c r="Q160" s="31" t="str">
        <f aca="false">IF(K160=Filter!$B$2,COUNTIF(K$2:K160,Filter!$B$2),"")</f>
        <v/>
      </c>
    </row>
    <row r="161" customFormat="false" ht="15" hidden="false" customHeight="false" outlineLevel="0" collapsed="false">
      <c r="A161" s="31" t="s">
        <v>365</v>
      </c>
      <c r="B161" s="32" t="n">
        <v>45635</v>
      </c>
      <c r="C161" s="31" t="s">
        <v>171</v>
      </c>
      <c r="D161" s="31" t="s">
        <v>172</v>
      </c>
      <c r="E161" s="31" t="s">
        <v>80</v>
      </c>
      <c r="F161" s="31" t="s">
        <v>81</v>
      </c>
      <c r="G161" s="31" t="s">
        <v>82</v>
      </c>
      <c r="H161" s="31" t="n">
        <v>2</v>
      </c>
      <c r="I161" s="33" t="n">
        <v>249.99</v>
      </c>
      <c r="J161" s="31" t="s">
        <v>89</v>
      </c>
      <c r="K161" s="31" t="s">
        <v>84</v>
      </c>
      <c r="L161" s="31" t="s">
        <v>90</v>
      </c>
      <c r="M161" s="32" t="n">
        <v>44396</v>
      </c>
      <c r="N161" s="33" t="n">
        <f aca="false">H161*I161</f>
        <v>499.98</v>
      </c>
      <c r="O161" s="31" t="n">
        <f aca="true">DATEDIF(B161,TODAY(),"d")</f>
        <v>669</v>
      </c>
      <c r="P161" s="32" t="n">
        <f aca="false">EOMONTH(B161,0)</f>
        <v>45657</v>
      </c>
      <c r="Q161" s="31" t="str">
        <f aca="false">IF(K161=Filter!$B$2,COUNTIF(K$2:K161,Filter!$B$2),"")</f>
        <v/>
      </c>
    </row>
    <row r="162" customFormat="false" ht="15" hidden="false" customHeight="false" outlineLevel="0" collapsed="false">
      <c r="A162" s="31" t="s">
        <v>366</v>
      </c>
      <c r="B162" s="32" t="n">
        <v>45635</v>
      </c>
      <c r="C162" s="31" t="s">
        <v>367</v>
      </c>
      <c r="D162" s="31" t="s">
        <v>368</v>
      </c>
      <c r="E162" s="31" t="s">
        <v>94</v>
      </c>
      <c r="F162" s="31" t="s">
        <v>95</v>
      </c>
      <c r="G162" s="31" t="s">
        <v>96</v>
      </c>
      <c r="H162" s="31" t="n">
        <v>3</v>
      </c>
      <c r="I162" s="33" t="n">
        <v>59.99</v>
      </c>
      <c r="J162" s="31" t="s">
        <v>83</v>
      </c>
      <c r="K162" s="31" t="s">
        <v>84</v>
      </c>
      <c r="L162" s="31" t="s">
        <v>90</v>
      </c>
      <c r="M162" s="32" t="n">
        <v>45052</v>
      </c>
      <c r="N162" s="33" t="n">
        <f aca="false">H162*I162</f>
        <v>179.97</v>
      </c>
      <c r="O162" s="31" t="n">
        <f aca="true">DATEDIF(B162,TODAY(),"d")</f>
        <v>669</v>
      </c>
      <c r="P162" s="32" t="n">
        <f aca="false">EOMONTH(B162,0)</f>
        <v>45657</v>
      </c>
      <c r="Q162" s="31" t="str">
        <f aca="false">IF(K162=Filter!$B$2,COUNTIF(K$2:K162,Filter!$B$2),"")</f>
        <v/>
      </c>
    </row>
    <row r="163" customFormat="false" ht="15" hidden="false" customHeight="false" outlineLevel="0" collapsed="false">
      <c r="A163" s="31" t="s">
        <v>369</v>
      </c>
      <c r="B163" s="32" t="n">
        <v>45635</v>
      </c>
      <c r="C163" s="31" t="s">
        <v>204</v>
      </c>
      <c r="D163" s="31" t="s">
        <v>205</v>
      </c>
      <c r="E163" s="31" t="s">
        <v>177</v>
      </c>
      <c r="F163" s="31" t="s">
        <v>178</v>
      </c>
      <c r="G163" s="31" t="s">
        <v>96</v>
      </c>
      <c r="H163" s="31" t="n">
        <v>4</v>
      </c>
      <c r="I163" s="33" t="n">
        <v>79.99</v>
      </c>
      <c r="J163" s="31" t="s">
        <v>120</v>
      </c>
      <c r="K163" s="31" t="s">
        <v>126</v>
      </c>
      <c r="L163" s="31" t="s">
        <v>99</v>
      </c>
      <c r="M163" s="32" t="n">
        <v>44921</v>
      </c>
      <c r="N163" s="33" t="n">
        <f aca="false">H163*I163</f>
        <v>319.96</v>
      </c>
      <c r="O163" s="31" t="n">
        <f aca="true">DATEDIF(B163,TODAY(),"d")</f>
        <v>669</v>
      </c>
      <c r="P163" s="32" t="n">
        <f aca="false">EOMONTH(B163,0)</f>
        <v>45657</v>
      </c>
      <c r="Q163" s="31" t="str">
        <f aca="false">IF(K163=Filter!$B$2,COUNTIF(K$2:K163,Filter!$B$2),"")</f>
        <v/>
      </c>
    </row>
    <row r="164" customFormat="false" ht="15" hidden="false" customHeight="false" outlineLevel="0" collapsed="false">
      <c r="A164" s="31" t="s">
        <v>370</v>
      </c>
      <c r="B164" s="32" t="n">
        <v>45636</v>
      </c>
      <c r="C164" s="31" t="s">
        <v>183</v>
      </c>
      <c r="D164" s="31" t="s">
        <v>184</v>
      </c>
      <c r="E164" s="31" t="s">
        <v>177</v>
      </c>
      <c r="F164" s="31" t="s">
        <v>178</v>
      </c>
      <c r="G164" s="31" t="s">
        <v>96</v>
      </c>
      <c r="H164" s="31" t="n">
        <v>3</v>
      </c>
      <c r="I164" s="33" t="n">
        <v>79.99</v>
      </c>
      <c r="J164" s="31" t="s">
        <v>120</v>
      </c>
      <c r="K164" s="31" t="s">
        <v>126</v>
      </c>
      <c r="L164" s="31" t="s">
        <v>99</v>
      </c>
      <c r="M164" s="32" t="n">
        <v>44779</v>
      </c>
      <c r="N164" s="33" t="n">
        <f aca="false">H164*I164</f>
        <v>239.97</v>
      </c>
      <c r="O164" s="31" t="n">
        <f aca="true">DATEDIF(B164,TODAY(),"d")</f>
        <v>668</v>
      </c>
      <c r="P164" s="32" t="n">
        <f aca="false">EOMONTH(B164,0)</f>
        <v>45657</v>
      </c>
      <c r="Q164" s="31" t="str">
        <f aca="false">IF(K164=Filter!$B$2,COUNTIF(K$2:K164,Filter!$B$2),"")</f>
        <v/>
      </c>
    </row>
    <row r="165" customFormat="false" ht="15" hidden="false" customHeight="false" outlineLevel="0" collapsed="false">
      <c r="A165" s="31" t="s">
        <v>371</v>
      </c>
      <c r="B165" s="32" t="n">
        <v>45638</v>
      </c>
      <c r="C165" s="31" t="s">
        <v>135</v>
      </c>
      <c r="D165" s="31" t="s">
        <v>136</v>
      </c>
      <c r="E165" s="31" t="s">
        <v>124</v>
      </c>
      <c r="F165" s="31" t="s">
        <v>125</v>
      </c>
      <c r="G165" s="31" t="s">
        <v>82</v>
      </c>
      <c r="H165" s="31" t="n">
        <v>2</v>
      </c>
      <c r="I165" s="33" t="n">
        <v>899.99</v>
      </c>
      <c r="J165" s="31" t="s">
        <v>83</v>
      </c>
      <c r="K165" s="31" t="s">
        <v>103</v>
      </c>
      <c r="L165" s="31" t="s">
        <v>85</v>
      </c>
      <c r="M165" s="32" t="n">
        <v>44406</v>
      </c>
      <c r="N165" s="33" t="n">
        <f aca="false">H165*I165</f>
        <v>1799.98</v>
      </c>
      <c r="O165" s="31" t="n">
        <f aca="true">DATEDIF(B165,TODAY(),"d")</f>
        <v>666</v>
      </c>
      <c r="P165" s="32" t="n">
        <f aca="false">EOMONTH(B165,0)</f>
        <v>45657</v>
      </c>
      <c r="Q165" s="31" t="str">
        <f aca="false">IF(K165=Filter!$B$2,COUNTIF(K$2:K165,Filter!$B$2),"")</f>
        <v/>
      </c>
    </row>
    <row r="166" customFormat="false" ht="15" hidden="false" customHeight="false" outlineLevel="0" collapsed="false">
      <c r="A166" s="31" t="s">
        <v>372</v>
      </c>
      <c r="B166" s="32" t="n">
        <v>45641</v>
      </c>
      <c r="C166" s="31" t="s">
        <v>245</v>
      </c>
      <c r="D166" s="31" t="s">
        <v>246</v>
      </c>
      <c r="E166" s="31" t="s">
        <v>107</v>
      </c>
      <c r="F166" s="31" t="s">
        <v>108</v>
      </c>
      <c r="G166" s="31" t="s">
        <v>109</v>
      </c>
      <c r="H166" s="31" t="n">
        <v>1</v>
      </c>
      <c r="I166" s="33" t="n">
        <v>149.99</v>
      </c>
      <c r="J166" s="31" t="s">
        <v>120</v>
      </c>
      <c r="K166" s="31" t="s">
        <v>126</v>
      </c>
      <c r="L166" s="31" t="s">
        <v>99</v>
      </c>
      <c r="M166" s="32" t="n">
        <v>45200</v>
      </c>
      <c r="N166" s="33" t="n">
        <f aca="false">H166*I166</f>
        <v>149.99</v>
      </c>
      <c r="O166" s="31" t="n">
        <f aca="true">DATEDIF(B166,TODAY(),"d")</f>
        <v>663</v>
      </c>
      <c r="P166" s="32" t="n">
        <f aca="false">EOMONTH(B166,0)</f>
        <v>45657</v>
      </c>
      <c r="Q166" s="31" t="str">
        <f aca="false">IF(K166=Filter!$B$2,COUNTIF(K$2:K166,Filter!$B$2),"")</f>
        <v/>
      </c>
    </row>
    <row r="167" customFormat="false" ht="15" hidden="false" customHeight="false" outlineLevel="0" collapsed="false">
      <c r="A167" s="31" t="s">
        <v>373</v>
      </c>
      <c r="B167" s="32" t="n">
        <v>45641</v>
      </c>
      <c r="C167" s="31" t="s">
        <v>201</v>
      </c>
      <c r="D167" s="31" t="s">
        <v>202</v>
      </c>
      <c r="E167" s="31" t="s">
        <v>168</v>
      </c>
      <c r="F167" s="31" t="s">
        <v>169</v>
      </c>
      <c r="G167" s="31" t="s">
        <v>109</v>
      </c>
      <c r="H167" s="31" t="n">
        <v>2</v>
      </c>
      <c r="I167" s="33" t="n">
        <v>299.99</v>
      </c>
      <c r="J167" s="31" t="s">
        <v>83</v>
      </c>
      <c r="K167" s="31" t="s">
        <v>126</v>
      </c>
      <c r="L167" s="31" t="s">
        <v>90</v>
      </c>
      <c r="M167" s="32" t="n">
        <v>44724</v>
      </c>
      <c r="N167" s="33" t="n">
        <f aca="false">H167*I167</f>
        <v>599.98</v>
      </c>
      <c r="O167" s="31" t="n">
        <f aca="true">DATEDIF(B167,TODAY(),"d")</f>
        <v>663</v>
      </c>
      <c r="P167" s="32" t="n">
        <f aca="false">EOMONTH(B167,0)</f>
        <v>45657</v>
      </c>
      <c r="Q167" s="31" t="str">
        <f aca="false">IF(K167=Filter!$B$2,COUNTIF(K$2:K167,Filter!$B$2),"")</f>
        <v/>
      </c>
    </row>
    <row r="168" customFormat="false" ht="15" hidden="false" customHeight="false" outlineLevel="0" collapsed="false">
      <c r="A168" s="31" t="s">
        <v>374</v>
      </c>
      <c r="B168" s="32" t="n">
        <v>45644</v>
      </c>
      <c r="C168" s="31" t="s">
        <v>195</v>
      </c>
      <c r="D168" s="31" t="s">
        <v>196</v>
      </c>
      <c r="E168" s="31" t="s">
        <v>94</v>
      </c>
      <c r="F168" s="31" t="s">
        <v>95</v>
      </c>
      <c r="G168" s="31" t="s">
        <v>96</v>
      </c>
      <c r="H168" s="31" t="n">
        <v>2</v>
      </c>
      <c r="I168" s="33" t="n">
        <v>59.99</v>
      </c>
      <c r="J168" s="31" t="s">
        <v>83</v>
      </c>
      <c r="K168" s="31" t="s">
        <v>113</v>
      </c>
      <c r="L168" s="31" t="s">
        <v>85</v>
      </c>
      <c r="M168" s="32" t="n">
        <v>45191</v>
      </c>
      <c r="N168" s="33" t="n">
        <f aca="false">H168*I168</f>
        <v>119.98</v>
      </c>
      <c r="O168" s="31" t="n">
        <f aca="true">DATEDIF(B168,TODAY(),"d")</f>
        <v>660</v>
      </c>
      <c r="P168" s="32" t="n">
        <f aca="false">EOMONTH(B168,0)</f>
        <v>45657</v>
      </c>
      <c r="Q168" s="31" t="n">
        <f aca="false">IF(K168=Filter!$B$2,COUNTIF(K$2:K168,Filter!$B$2),"")</f>
        <v>31</v>
      </c>
    </row>
    <row r="169" customFormat="false" ht="15" hidden="false" customHeight="false" outlineLevel="0" collapsed="false">
      <c r="A169" s="31" t="s">
        <v>375</v>
      </c>
      <c r="B169" s="32" t="n">
        <v>45645</v>
      </c>
      <c r="C169" s="31" t="s">
        <v>245</v>
      </c>
      <c r="D169" s="31" t="s">
        <v>246</v>
      </c>
      <c r="E169" s="31" t="s">
        <v>180</v>
      </c>
      <c r="F169" s="31" t="s">
        <v>181</v>
      </c>
      <c r="G169" s="31" t="s">
        <v>82</v>
      </c>
      <c r="H169" s="31" t="n">
        <v>1</v>
      </c>
      <c r="I169" s="33" t="n">
        <v>89.99</v>
      </c>
      <c r="J169" s="31" t="s">
        <v>120</v>
      </c>
      <c r="K169" s="31" t="s">
        <v>84</v>
      </c>
      <c r="L169" s="31" t="s">
        <v>99</v>
      </c>
      <c r="M169" s="32" t="n">
        <v>44760</v>
      </c>
      <c r="N169" s="33" t="n">
        <f aca="false">H169*I169</f>
        <v>89.99</v>
      </c>
      <c r="O169" s="31" t="n">
        <f aca="true">DATEDIF(B169,TODAY(),"d")</f>
        <v>659</v>
      </c>
      <c r="P169" s="32" t="n">
        <f aca="false">EOMONTH(B169,0)</f>
        <v>45657</v>
      </c>
      <c r="Q169" s="31" t="str">
        <f aca="false">IF(K169=Filter!$B$2,COUNTIF(K$2:K169,Filter!$B$2),"")</f>
        <v/>
      </c>
    </row>
    <row r="170" customFormat="false" ht="15" hidden="false" customHeight="false" outlineLevel="0" collapsed="false">
      <c r="A170" s="31" t="s">
        <v>376</v>
      </c>
      <c r="B170" s="32" t="n">
        <v>45645</v>
      </c>
      <c r="C170" s="31" t="s">
        <v>210</v>
      </c>
      <c r="D170" s="31" t="s">
        <v>211</v>
      </c>
      <c r="E170" s="31" t="s">
        <v>124</v>
      </c>
      <c r="F170" s="31" t="s">
        <v>125</v>
      </c>
      <c r="G170" s="31" t="s">
        <v>82</v>
      </c>
      <c r="H170" s="31" t="n">
        <v>5</v>
      </c>
      <c r="I170" s="33" t="n">
        <v>899.99</v>
      </c>
      <c r="J170" s="31" t="s">
        <v>120</v>
      </c>
      <c r="K170" s="31" t="s">
        <v>126</v>
      </c>
      <c r="L170" s="31" t="s">
        <v>99</v>
      </c>
      <c r="M170" s="32" t="n">
        <v>44625</v>
      </c>
      <c r="N170" s="33" t="n">
        <f aca="false">H170*I170</f>
        <v>4499.95</v>
      </c>
      <c r="O170" s="31" t="n">
        <f aca="true">DATEDIF(B170,TODAY(),"d")</f>
        <v>659</v>
      </c>
      <c r="P170" s="32" t="n">
        <f aca="false">EOMONTH(B170,0)</f>
        <v>45657</v>
      </c>
      <c r="Q170" s="31" t="str">
        <f aca="false">IF(K170=Filter!$B$2,COUNTIF(K$2:K170,Filter!$B$2),"")</f>
        <v/>
      </c>
    </row>
    <row r="171" customFormat="false" ht="15" hidden="false" customHeight="false" outlineLevel="0" collapsed="false">
      <c r="A171" s="31" t="s">
        <v>377</v>
      </c>
      <c r="B171" s="32" t="n">
        <v>45646</v>
      </c>
      <c r="C171" s="31" t="s">
        <v>105</v>
      </c>
      <c r="D171" s="31" t="s">
        <v>106</v>
      </c>
      <c r="E171" s="31" t="s">
        <v>107</v>
      </c>
      <c r="F171" s="31" t="s">
        <v>108</v>
      </c>
      <c r="G171" s="31" t="s">
        <v>109</v>
      </c>
      <c r="H171" s="31" t="n">
        <v>2</v>
      </c>
      <c r="I171" s="33" t="n">
        <v>149.99</v>
      </c>
      <c r="J171" s="31" t="s">
        <v>83</v>
      </c>
      <c r="K171" s="31" t="s">
        <v>98</v>
      </c>
      <c r="L171" s="31" t="s">
        <v>85</v>
      </c>
      <c r="M171" s="32" t="n">
        <v>45239</v>
      </c>
      <c r="N171" s="33" t="n">
        <f aca="false">H171*I171</f>
        <v>299.98</v>
      </c>
      <c r="O171" s="31" t="n">
        <f aca="true">DATEDIF(B171,TODAY(),"d")</f>
        <v>658</v>
      </c>
      <c r="P171" s="32" t="n">
        <f aca="false">EOMONTH(B171,0)</f>
        <v>45657</v>
      </c>
      <c r="Q171" s="31" t="str">
        <f aca="false">IF(K171=Filter!$B$2,COUNTIF(K$2:K171,Filter!$B$2),"")</f>
        <v/>
      </c>
    </row>
    <row r="172" customFormat="false" ht="15" hidden="false" customHeight="false" outlineLevel="0" collapsed="false">
      <c r="A172" s="31" t="s">
        <v>378</v>
      </c>
      <c r="B172" s="32" t="n">
        <v>45648</v>
      </c>
      <c r="C172" s="31" t="s">
        <v>175</v>
      </c>
      <c r="D172" s="31" t="s">
        <v>176</v>
      </c>
      <c r="E172" s="31" t="s">
        <v>115</v>
      </c>
      <c r="F172" s="31" t="s">
        <v>116</v>
      </c>
      <c r="G172" s="31" t="s">
        <v>82</v>
      </c>
      <c r="H172" s="31" t="n">
        <v>2</v>
      </c>
      <c r="I172" s="33" t="n">
        <v>149.99</v>
      </c>
      <c r="J172" s="31" t="s">
        <v>120</v>
      </c>
      <c r="K172" s="31" t="s">
        <v>113</v>
      </c>
      <c r="L172" s="31" t="s">
        <v>90</v>
      </c>
      <c r="M172" s="32" t="n">
        <v>45280</v>
      </c>
      <c r="N172" s="33" t="n">
        <f aca="false">H172*I172</f>
        <v>299.98</v>
      </c>
      <c r="O172" s="31" t="n">
        <f aca="true">DATEDIF(B172,TODAY(),"d")</f>
        <v>656</v>
      </c>
      <c r="P172" s="32" t="n">
        <f aca="false">EOMONTH(B172,0)</f>
        <v>45657</v>
      </c>
      <c r="Q172" s="31" t="n">
        <f aca="false">IF(K172=Filter!$B$2,COUNTIF(K$2:K172,Filter!$B$2),"")</f>
        <v>32</v>
      </c>
    </row>
    <row r="173" customFormat="false" ht="15" hidden="false" customHeight="false" outlineLevel="0" collapsed="false">
      <c r="A173" s="31" t="s">
        <v>379</v>
      </c>
      <c r="B173" s="32" t="n">
        <v>45648</v>
      </c>
      <c r="C173" s="31" t="s">
        <v>245</v>
      </c>
      <c r="D173" s="31" t="s">
        <v>246</v>
      </c>
      <c r="E173" s="31" t="s">
        <v>107</v>
      </c>
      <c r="F173" s="31" t="s">
        <v>108</v>
      </c>
      <c r="G173" s="31" t="s">
        <v>109</v>
      </c>
      <c r="H173" s="31" t="n">
        <v>3</v>
      </c>
      <c r="I173" s="33" t="n">
        <v>149.99</v>
      </c>
      <c r="J173" s="31" t="s">
        <v>120</v>
      </c>
      <c r="K173" s="31" t="s">
        <v>103</v>
      </c>
      <c r="L173" s="31" t="s">
        <v>99</v>
      </c>
      <c r="M173" s="32" t="n">
        <v>44522</v>
      </c>
      <c r="N173" s="33" t="n">
        <f aca="false">H173*I173</f>
        <v>449.97</v>
      </c>
      <c r="O173" s="31" t="n">
        <f aca="true">DATEDIF(B173,TODAY(),"d")</f>
        <v>656</v>
      </c>
      <c r="P173" s="32" t="n">
        <f aca="false">EOMONTH(B173,0)</f>
        <v>45657</v>
      </c>
      <c r="Q173" s="31" t="str">
        <f aca="false">IF(K173=Filter!$B$2,COUNTIF(K$2:K173,Filter!$B$2),"")</f>
        <v/>
      </c>
    </row>
    <row r="174" customFormat="false" ht="15" hidden="false" customHeight="false" outlineLevel="0" collapsed="false">
      <c r="A174" s="31" t="s">
        <v>380</v>
      </c>
      <c r="B174" s="32" t="n">
        <v>45649</v>
      </c>
      <c r="C174" s="31" t="s">
        <v>92</v>
      </c>
      <c r="D174" s="31" t="s">
        <v>93</v>
      </c>
      <c r="E174" s="31" t="s">
        <v>168</v>
      </c>
      <c r="F174" s="31" t="s">
        <v>169</v>
      </c>
      <c r="G174" s="31" t="s">
        <v>109</v>
      </c>
      <c r="H174" s="31" t="n">
        <v>2</v>
      </c>
      <c r="I174" s="33" t="n">
        <v>299.99</v>
      </c>
      <c r="J174" s="31" t="s">
        <v>97</v>
      </c>
      <c r="K174" s="31" t="s">
        <v>98</v>
      </c>
      <c r="L174" s="31" t="s">
        <v>85</v>
      </c>
      <c r="M174" s="32" t="n">
        <v>44721</v>
      </c>
      <c r="N174" s="33" t="n">
        <f aca="false">H174*I174</f>
        <v>599.98</v>
      </c>
      <c r="O174" s="31" t="n">
        <f aca="true">DATEDIF(B174,TODAY(),"d")</f>
        <v>655</v>
      </c>
      <c r="P174" s="32" t="n">
        <f aca="false">EOMONTH(B174,0)</f>
        <v>45657</v>
      </c>
      <c r="Q174" s="31" t="str">
        <f aca="false">IF(K174=Filter!$B$2,COUNTIF(K$2:K174,Filter!$B$2),"")</f>
        <v/>
      </c>
    </row>
    <row r="175" customFormat="false" ht="15" hidden="false" customHeight="false" outlineLevel="0" collapsed="false">
      <c r="A175" s="31" t="s">
        <v>381</v>
      </c>
      <c r="B175" s="32" t="n">
        <v>45649</v>
      </c>
      <c r="C175" s="31" t="s">
        <v>105</v>
      </c>
      <c r="D175" s="31" t="s">
        <v>106</v>
      </c>
      <c r="E175" s="31" t="s">
        <v>168</v>
      </c>
      <c r="F175" s="31" t="s">
        <v>169</v>
      </c>
      <c r="G175" s="31" t="s">
        <v>109</v>
      </c>
      <c r="H175" s="31" t="n">
        <v>2</v>
      </c>
      <c r="I175" s="33" t="n">
        <v>299.99</v>
      </c>
      <c r="J175" s="31" t="s">
        <v>83</v>
      </c>
      <c r="K175" s="31" t="s">
        <v>113</v>
      </c>
      <c r="L175" s="31" t="s">
        <v>99</v>
      </c>
      <c r="M175" s="32" t="n">
        <v>44771</v>
      </c>
      <c r="N175" s="33" t="n">
        <f aca="false">H175*I175</f>
        <v>599.98</v>
      </c>
      <c r="O175" s="31" t="n">
        <f aca="true">DATEDIF(B175,TODAY(),"d")</f>
        <v>655</v>
      </c>
      <c r="P175" s="32" t="n">
        <f aca="false">EOMONTH(B175,0)</f>
        <v>45657</v>
      </c>
      <c r="Q175" s="31" t="n">
        <f aca="false">IF(K175=Filter!$B$2,COUNTIF(K$2:K175,Filter!$B$2),"")</f>
        <v>33</v>
      </c>
    </row>
    <row r="176" customFormat="false" ht="15" hidden="false" customHeight="false" outlineLevel="0" collapsed="false">
      <c r="A176" s="31" t="s">
        <v>382</v>
      </c>
      <c r="B176" s="32" t="n">
        <v>45654</v>
      </c>
      <c r="C176" s="31" t="s">
        <v>183</v>
      </c>
      <c r="D176" s="31" t="s">
        <v>184</v>
      </c>
      <c r="E176" s="31" t="s">
        <v>189</v>
      </c>
      <c r="F176" s="31" t="s">
        <v>190</v>
      </c>
      <c r="G176" s="31" t="s">
        <v>109</v>
      </c>
      <c r="H176" s="31" t="n">
        <v>4</v>
      </c>
      <c r="I176" s="33" t="n">
        <v>199.99</v>
      </c>
      <c r="J176" s="31" t="s">
        <v>89</v>
      </c>
      <c r="K176" s="31" t="s">
        <v>84</v>
      </c>
      <c r="L176" s="31" t="s">
        <v>85</v>
      </c>
      <c r="M176" s="32" t="n">
        <v>44523</v>
      </c>
      <c r="N176" s="33" t="n">
        <f aca="false">H176*I176</f>
        <v>799.96</v>
      </c>
      <c r="O176" s="31" t="n">
        <f aca="true">DATEDIF(B176,TODAY(),"d")</f>
        <v>650</v>
      </c>
      <c r="P176" s="32" t="n">
        <f aca="false">EOMONTH(B176,0)</f>
        <v>45657</v>
      </c>
      <c r="Q176" s="31" t="str">
        <f aca="false">IF(K176=Filter!$B$2,COUNTIF(K$2:K176,Filter!$B$2),"")</f>
        <v/>
      </c>
    </row>
    <row r="177" customFormat="false" ht="15" hidden="false" customHeight="false" outlineLevel="0" collapsed="false">
      <c r="A177" s="31" t="s">
        <v>383</v>
      </c>
      <c r="B177" s="32" t="n">
        <v>45655</v>
      </c>
      <c r="C177" s="31" t="s">
        <v>122</v>
      </c>
      <c r="D177" s="31" t="s">
        <v>123</v>
      </c>
      <c r="E177" s="31" t="s">
        <v>180</v>
      </c>
      <c r="F177" s="31" t="s">
        <v>181</v>
      </c>
      <c r="G177" s="31" t="s">
        <v>82</v>
      </c>
      <c r="H177" s="31" t="n">
        <v>1</v>
      </c>
      <c r="I177" s="33" t="n">
        <v>89.99</v>
      </c>
      <c r="J177" s="31" t="s">
        <v>89</v>
      </c>
      <c r="K177" s="31" t="s">
        <v>98</v>
      </c>
      <c r="L177" s="31" t="s">
        <v>90</v>
      </c>
      <c r="M177" s="32" t="n">
        <v>44591</v>
      </c>
      <c r="N177" s="33" t="n">
        <f aca="false">H177*I177</f>
        <v>89.99</v>
      </c>
      <c r="O177" s="31" t="n">
        <f aca="true">DATEDIF(B177,TODAY(),"d")</f>
        <v>649</v>
      </c>
      <c r="P177" s="32" t="n">
        <f aca="false">EOMONTH(B177,0)</f>
        <v>45657</v>
      </c>
      <c r="Q177" s="31" t="str">
        <f aca="false">IF(K177=Filter!$B$2,COUNTIF(K$2:K177,Filter!$B$2),"")</f>
        <v/>
      </c>
    </row>
    <row r="178" customFormat="false" ht="15" hidden="false" customHeight="false" outlineLevel="0" collapsed="false">
      <c r="A178" s="31" t="s">
        <v>384</v>
      </c>
      <c r="B178" s="32" t="n">
        <v>45655</v>
      </c>
      <c r="C178" s="31" t="s">
        <v>171</v>
      </c>
      <c r="D178" s="31" t="s">
        <v>172</v>
      </c>
      <c r="E178" s="31" t="s">
        <v>107</v>
      </c>
      <c r="F178" s="31" t="s">
        <v>108</v>
      </c>
      <c r="G178" s="31" t="s">
        <v>109</v>
      </c>
      <c r="H178" s="31" t="n">
        <v>5</v>
      </c>
      <c r="I178" s="33" t="n">
        <v>149.99</v>
      </c>
      <c r="J178" s="31" t="s">
        <v>83</v>
      </c>
      <c r="K178" s="31" t="s">
        <v>84</v>
      </c>
      <c r="L178" s="31" t="s">
        <v>90</v>
      </c>
      <c r="M178" s="32" t="n">
        <v>45347</v>
      </c>
      <c r="N178" s="33" t="n">
        <f aca="false">H178*I178</f>
        <v>749.95</v>
      </c>
      <c r="O178" s="31" t="n">
        <f aca="true">DATEDIF(B178,TODAY(),"d")</f>
        <v>649</v>
      </c>
      <c r="P178" s="32" t="n">
        <f aca="false">EOMONTH(B178,0)</f>
        <v>45657</v>
      </c>
      <c r="Q178" s="31" t="str">
        <f aca="false">IF(K178=Filter!$B$2,COUNTIF(K$2:K178,Filter!$B$2),"")</f>
        <v/>
      </c>
    </row>
    <row r="179" customFormat="false" ht="15" hidden="false" customHeight="false" outlineLevel="0" collapsed="false">
      <c r="A179" s="31" t="s">
        <v>385</v>
      </c>
      <c r="B179" s="32" t="n">
        <v>45657</v>
      </c>
      <c r="C179" s="31" t="s">
        <v>149</v>
      </c>
      <c r="D179" s="31" t="s">
        <v>150</v>
      </c>
      <c r="E179" s="31" t="s">
        <v>124</v>
      </c>
      <c r="F179" s="31" t="s">
        <v>125</v>
      </c>
      <c r="G179" s="31" t="s">
        <v>82</v>
      </c>
      <c r="H179" s="31" t="n">
        <v>1</v>
      </c>
      <c r="I179" s="33" t="n">
        <v>899.99</v>
      </c>
      <c r="J179" s="31" t="s">
        <v>97</v>
      </c>
      <c r="K179" s="31" t="s">
        <v>103</v>
      </c>
      <c r="L179" s="31" t="s">
        <v>90</v>
      </c>
      <c r="M179" s="32" t="n">
        <v>45050</v>
      </c>
      <c r="N179" s="33" t="n">
        <f aca="false">H179*I179</f>
        <v>899.99</v>
      </c>
      <c r="O179" s="31" t="n">
        <f aca="true">DATEDIF(B179,TODAY(),"d")</f>
        <v>647</v>
      </c>
      <c r="P179" s="32" t="n">
        <f aca="false">EOMONTH(B179,0)</f>
        <v>45657</v>
      </c>
      <c r="Q179" s="31" t="str">
        <f aca="false">IF(K179=Filter!$B$2,COUNTIF(K$2:K179,Filter!$B$2),"")</f>
        <v/>
      </c>
    </row>
    <row r="180" customFormat="false" ht="15" hidden="false" customHeight="false" outlineLevel="0" collapsed="false">
      <c r="A180" s="31" t="s">
        <v>386</v>
      </c>
      <c r="B180" s="32" t="n">
        <v>45660</v>
      </c>
      <c r="C180" s="31" t="s">
        <v>210</v>
      </c>
      <c r="D180" s="31" t="s">
        <v>211</v>
      </c>
      <c r="E180" s="31" t="s">
        <v>180</v>
      </c>
      <c r="F180" s="31" t="s">
        <v>181</v>
      </c>
      <c r="G180" s="31" t="s">
        <v>82</v>
      </c>
      <c r="H180" s="31" t="n">
        <v>2</v>
      </c>
      <c r="I180" s="33" t="n">
        <v>89.99</v>
      </c>
      <c r="J180" s="31" t="s">
        <v>89</v>
      </c>
      <c r="K180" s="31" t="s">
        <v>98</v>
      </c>
      <c r="L180" s="31" t="s">
        <v>90</v>
      </c>
      <c r="M180" s="32" t="n">
        <v>44564</v>
      </c>
      <c r="N180" s="33" t="n">
        <f aca="false">H180*I180</f>
        <v>179.98</v>
      </c>
      <c r="O180" s="31" t="n">
        <f aca="true">DATEDIF(B180,TODAY(),"d")</f>
        <v>644</v>
      </c>
      <c r="P180" s="32" t="n">
        <f aca="false">EOMONTH(B180,0)</f>
        <v>45688</v>
      </c>
      <c r="Q180" s="31" t="str">
        <f aca="false">IF(K180=Filter!$B$2,COUNTIF(K$2:K180,Filter!$B$2),"")</f>
        <v/>
      </c>
    </row>
    <row r="181" customFormat="false" ht="15" hidden="false" customHeight="false" outlineLevel="0" collapsed="false">
      <c r="A181" s="31" t="s">
        <v>387</v>
      </c>
      <c r="B181" s="32" t="n">
        <v>45661</v>
      </c>
      <c r="C181" s="31" t="s">
        <v>388</v>
      </c>
      <c r="D181" s="31" t="s">
        <v>389</v>
      </c>
      <c r="E181" s="31" t="s">
        <v>124</v>
      </c>
      <c r="F181" s="31" t="s">
        <v>125</v>
      </c>
      <c r="G181" s="31" t="s">
        <v>82</v>
      </c>
      <c r="H181" s="31" t="n">
        <v>1</v>
      </c>
      <c r="I181" s="33" t="n">
        <v>899.99</v>
      </c>
      <c r="J181" s="31" t="s">
        <v>97</v>
      </c>
      <c r="K181" s="31" t="s">
        <v>103</v>
      </c>
      <c r="L181" s="31" t="s">
        <v>99</v>
      </c>
      <c r="M181" s="32" t="n">
        <v>44752</v>
      </c>
      <c r="N181" s="33" t="n">
        <f aca="false">H181*I181</f>
        <v>899.99</v>
      </c>
      <c r="O181" s="31" t="n">
        <f aca="true">DATEDIF(B181,TODAY(),"d")</f>
        <v>643</v>
      </c>
      <c r="P181" s="32" t="n">
        <f aca="false">EOMONTH(B181,0)</f>
        <v>45688</v>
      </c>
      <c r="Q181" s="31" t="str">
        <f aca="false">IF(K181=Filter!$B$2,COUNTIF(K$2:K181,Filter!$B$2),"")</f>
        <v/>
      </c>
    </row>
    <row r="182" customFormat="false" ht="15" hidden="false" customHeight="false" outlineLevel="0" collapsed="false">
      <c r="A182" s="31" t="s">
        <v>390</v>
      </c>
      <c r="B182" s="32" t="n">
        <v>45663</v>
      </c>
      <c r="C182" s="31" t="s">
        <v>192</v>
      </c>
      <c r="D182" s="31" t="s">
        <v>193</v>
      </c>
      <c r="E182" s="31" t="s">
        <v>115</v>
      </c>
      <c r="F182" s="31" t="s">
        <v>116</v>
      </c>
      <c r="G182" s="31" t="s">
        <v>82</v>
      </c>
      <c r="H182" s="31" t="n">
        <v>5</v>
      </c>
      <c r="I182" s="33" t="n">
        <v>149.99</v>
      </c>
      <c r="J182" s="31" t="s">
        <v>97</v>
      </c>
      <c r="K182" s="31" t="s">
        <v>126</v>
      </c>
      <c r="L182" s="31" t="s">
        <v>90</v>
      </c>
      <c r="M182" s="32" t="n">
        <v>44824</v>
      </c>
      <c r="N182" s="33" t="n">
        <f aca="false">H182*I182</f>
        <v>749.95</v>
      </c>
      <c r="O182" s="31" t="n">
        <f aca="true">DATEDIF(B182,TODAY(),"d")</f>
        <v>641</v>
      </c>
      <c r="P182" s="32" t="n">
        <f aca="false">EOMONTH(B182,0)</f>
        <v>45688</v>
      </c>
      <c r="Q182" s="31" t="str">
        <f aca="false">IF(K182=Filter!$B$2,COUNTIF(K$2:K182,Filter!$B$2),"")</f>
        <v/>
      </c>
    </row>
    <row r="183" customFormat="false" ht="15" hidden="false" customHeight="false" outlineLevel="0" collapsed="false">
      <c r="A183" s="31" t="s">
        <v>391</v>
      </c>
      <c r="B183" s="32" t="n">
        <v>45663</v>
      </c>
      <c r="C183" s="31" t="s">
        <v>105</v>
      </c>
      <c r="D183" s="31" t="s">
        <v>106</v>
      </c>
      <c r="E183" s="31" t="s">
        <v>168</v>
      </c>
      <c r="F183" s="31" t="s">
        <v>169</v>
      </c>
      <c r="G183" s="31" t="s">
        <v>109</v>
      </c>
      <c r="H183" s="31" t="n">
        <v>3</v>
      </c>
      <c r="I183" s="33" t="n">
        <v>299.99</v>
      </c>
      <c r="J183" s="31" t="s">
        <v>83</v>
      </c>
      <c r="K183" s="31" t="s">
        <v>98</v>
      </c>
      <c r="L183" s="31" t="s">
        <v>99</v>
      </c>
      <c r="M183" s="32" t="n">
        <v>44422</v>
      </c>
      <c r="N183" s="33" t="n">
        <f aca="false">H183*I183</f>
        <v>899.97</v>
      </c>
      <c r="O183" s="31" t="n">
        <f aca="true">DATEDIF(B183,TODAY(),"d")</f>
        <v>641</v>
      </c>
      <c r="P183" s="32" t="n">
        <f aca="false">EOMONTH(B183,0)</f>
        <v>45688</v>
      </c>
      <c r="Q183" s="31" t="str">
        <f aca="false">IF(K183=Filter!$B$2,COUNTIF(K$2:K183,Filter!$B$2),"")</f>
        <v/>
      </c>
    </row>
    <row r="184" customFormat="false" ht="15" hidden="false" customHeight="false" outlineLevel="0" collapsed="false">
      <c r="A184" s="31" t="s">
        <v>392</v>
      </c>
      <c r="B184" s="32" t="n">
        <v>45666</v>
      </c>
      <c r="C184" s="31" t="s">
        <v>128</v>
      </c>
      <c r="D184" s="31" t="s">
        <v>129</v>
      </c>
      <c r="E184" s="31" t="s">
        <v>143</v>
      </c>
      <c r="F184" s="31" t="s">
        <v>144</v>
      </c>
      <c r="G184" s="31" t="s">
        <v>82</v>
      </c>
      <c r="H184" s="31" t="n">
        <v>3</v>
      </c>
      <c r="I184" s="33" t="n">
        <v>699.99</v>
      </c>
      <c r="J184" s="31" t="s">
        <v>89</v>
      </c>
      <c r="K184" s="31" t="s">
        <v>84</v>
      </c>
      <c r="L184" s="31" t="s">
        <v>90</v>
      </c>
      <c r="M184" s="32" t="n">
        <v>45105</v>
      </c>
      <c r="N184" s="33" t="n">
        <f aca="false">H184*I184</f>
        <v>2099.97</v>
      </c>
      <c r="O184" s="31" t="n">
        <f aca="true">DATEDIF(B184,TODAY(),"d")</f>
        <v>638</v>
      </c>
      <c r="P184" s="32" t="n">
        <f aca="false">EOMONTH(B184,0)</f>
        <v>45688</v>
      </c>
      <c r="Q184" s="31" t="str">
        <f aca="false">IF(K184=Filter!$B$2,COUNTIF(K$2:K184,Filter!$B$2),"")</f>
        <v/>
      </c>
    </row>
    <row r="185" customFormat="false" ht="15" hidden="false" customHeight="false" outlineLevel="0" collapsed="false">
      <c r="A185" s="31" t="s">
        <v>393</v>
      </c>
      <c r="B185" s="32" t="n">
        <v>45667</v>
      </c>
      <c r="C185" s="31" t="s">
        <v>171</v>
      </c>
      <c r="D185" s="31" t="s">
        <v>172</v>
      </c>
      <c r="E185" s="31" t="s">
        <v>189</v>
      </c>
      <c r="F185" s="31" t="s">
        <v>190</v>
      </c>
      <c r="G185" s="31" t="s">
        <v>109</v>
      </c>
      <c r="H185" s="31" t="n">
        <v>5</v>
      </c>
      <c r="I185" s="33" t="n">
        <v>199.99</v>
      </c>
      <c r="J185" s="31" t="s">
        <v>97</v>
      </c>
      <c r="K185" s="31" t="s">
        <v>84</v>
      </c>
      <c r="L185" s="31" t="s">
        <v>99</v>
      </c>
      <c r="M185" s="32" t="n">
        <v>44633</v>
      </c>
      <c r="N185" s="33" t="n">
        <f aca="false">H185*I185</f>
        <v>999.95</v>
      </c>
      <c r="O185" s="31" t="n">
        <f aca="true">DATEDIF(B185,TODAY(),"d")</f>
        <v>637</v>
      </c>
      <c r="P185" s="32" t="n">
        <f aca="false">EOMONTH(B185,0)</f>
        <v>45688</v>
      </c>
      <c r="Q185" s="31" t="str">
        <f aca="false">IF(K185=Filter!$B$2,COUNTIF(K$2:K185,Filter!$B$2),"")</f>
        <v/>
      </c>
    </row>
    <row r="186" customFormat="false" ht="15" hidden="false" customHeight="false" outlineLevel="0" collapsed="false">
      <c r="A186" s="31" t="s">
        <v>394</v>
      </c>
      <c r="B186" s="32" t="n">
        <v>45667</v>
      </c>
      <c r="C186" s="31" t="s">
        <v>156</v>
      </c>
      <c r="D186" s="31" t="s">
        <v>157</v>
      </c>
      <c r="E186" s="31" t="s">
        <v>80</v>
      </c>
      <c r="F186" s="31" t="s">
        <v>81</v>
      </c>
      <c r="G186" s="31" t="s">
        <v>82</v>
      </c>
      <c r="H186" s="31" t="n">
        <v>5</v>
      </c>
      <c r="I186" s="33" t="n">
        <v>249.99</v>
      </c>
      <c r="J186" s="31" t="s">
        <v>89</v>
      </c>
      <c r="K186" s="31" t="s">
        <v>98</v>
      </c>
      <c r="L186" s="31" t="s">
        <v>85</v>
      </c>
      <c r="M186" s="32" t="n">
        <v>45330</v>
      </c>
      <c r="N186" s="33" t="n">
        <f aca="false">H186*I186</f>
        <v>1249.95</v>
      </c>
      <c r="O186" s="31" t="n">
        <f aca="true">DATEDIF(B186,TODAY(),"d")</f>
        <v>637</v>
      </c>
      <c r="P186" s="32" t="n">
        <f aca="false">EOMONTH(B186,0)</f>
        <v>45688</v>
      </c>
      <c r="Q186" s="31" t="str">
        <f aca="false">IF(K186=Filter!$B$2,COUNTIF(K$2:K186,Filter!$B$2),"")</f>
        <v/>
      </c>
    </row>
    <row r="187" customFormat="false" ht="15" hidden="false" customHeight="false" outlineLevel="0" collapsed="false">
      <c r="A187" s="31" t="s">
        <v>395</v>
      </c>
      <c r="B187" s="32" t="n">
        <v>45668</v>
      </c>
      <c r="C187" s="31" t="s">
        <v>201</v>
      </c>
      <c r="D187" s="31" t="s">
        <v>202</v>
      </c>
      <c r="E187" s="31" t="s">
        <v>115</v>
      </c>
      <c r="F187" s="31" t="s">
        <v>116</v>
      </c>
      <c r="G187" s="31" t="s">
        <v>82</v>
      </c>
      <c r="H187" s="31" t="n">
        <v>4</v>
      </c>
      <c r="I187" s="33" t="n">
        <v>149.99</v>
      </c>
      <c r="J187" s="31" t="s">
        <v>120</v>
      </c>
      <c r="K187" s="31" t="s">
        <v>126</v>
      </c>
      <c r="L187" s="31" t="s">
        <v>99</v>
      </c>
      <c r="M187" s="32" t="n">
        <v>44536</v>
      </c>
      <c r="N187" s="33" t="n">
        <f aca="false">H187*I187</f>
        <v>599.96</v>
      </c>
      <c r="O187" s="31" t="n">
        <f aca="true">DATEDIF(B187,TODAY(),"d")</f>
        <v>636</v>
      </c>
      <c r="P187" s="32" t="n">
        <f aca="false">EOMONTH(B187,0)</f>
        <v>45688</v>
      </c>
      <c r="Q187" s="31" t="str">
        <f aca="false">IF(K187=Filter!$B$2,COUNTIF(K$2:K187,Filter!$B$2),"")</f>
        <v/>
      </c>
    </row>
    <row r="188" customFormat="false" ht="15" hidden="false" customHeight="false" outlineLevel="0" collapsed="false">
      <c r="A188" s="31" t="s">
        <v>396</v>
      </c>
      <c r="B188" s="32" t="n">
        <v>45668</v>
      </c>
      <c r="C188" s="31" t="s">
        <v>141</v>
      </c>
      <c r="D188" s="31" t="s">
        <v>142</v>
      </c>
      <c r="E188" s="31" t="s">
        <v>143</v>
      </c>
      <c r="F188" s="31" t="s">
        <v>144</v>
      </c>
      <c r="G188" s="31" t="s">
        <v>82</v>
      </c>
      <c r="H188" s="31" t="n">
        <v>3</v>
      </c>
      <c r="I188" s="33" t="n">
        <v>699.99</v>
      </c>
      <c r="J188" s="31" t="s">
        <v>83</v>
      </c>
      <c r="K188" s="31" t="s">
        <v>103</v>
      </c>
      <c r="L188" s="31" t="s">
        <v>90</v>
      </c>
      <c r="M188" s="32" t="n">
        <v>44602</v>
      </c>
      <c r="N188" s="33" t="n">
        <f aca="false">H188*I188</f>
        <v>2099.97</v>
      </c>
      <c r="O188" s="31" t="n">
        <f aca="true">DATEDIF(B188,TODAY(),"d")</f>
        <v>636</v>
      </c>
      <c r="P188" s="32" t="n">
        <f aca="false">EOMONTH(B188,0)</f>
        <v>45688</v>
      </c>
      <c r="Q188" s="31" t="str">
        <f aca="false">IF(K188=Filter!$B$2,COUNTIF(K$2:K188,Filter!$B$2),"")</f>
        <v/>
      </c>
    </row>
    <row r="189" customFormat="false" ht="15" hidden="false" customHeight="false" outlineLevel="0" collapsed="false">
      <c r="A189" s="31" t="s">
        <v>397</v>
      </c>
      <c r="B189" s="32" t="n">
        <v>45670</v>
      </c>
      <c r="C189" s="31" t="s">
        <v>356</v>
      </c>
      <c r="D189" s="31" t="s">
        <v>357</v>
      </c>
      <c r="E189" s="31" t="s">
        <v>177</v>
      </c>
      <c r="F189" s="31" t="s">
        <v>178</v>
      </c>
      <c r="G189" s="31" t="s">
        <v>96</v>
      </c>
      <c r="H189" s="31" t="n">
        <v>1</v>
      </c>
      <c r="I189" s="33" t="n">
        <v>79.99</v>
      </c>
      <c r="J189" s="31" t="s">
        <v>89</v>
      </c>
      <c r="K189" s="31" t="s">
        <v>98</v>
      </c>
      <c r="L189" s="31" t="s">
        <v>85</v>
      </c>
      <c r="M189" s="32" t="n">
        <v>45322</v>
      </c>
      <c r="N189" s="33" t="n">
        <f aca="false">H189*I189</f>
        <v>79.99</v>
      </c>
      <c r="O189" s="31" t="n">
        <f aca="true">DATEDIF(B189,TODAY(),"d")</f>
        <v>634</v>
      </c>
      <c r="P189" s="32" t="n">
        <f aca="false">EOMONTH(B189,0)</f>
        <v>45688</v>
      </c>
      <c r="Q189" s="31" t="str">
        <f aca="false">IF(K189=Filter!$B$2,COUNTIF(K$2:K189,Filter!$B$2),"")</f>
        <v/>
      </c>
    </row>
    <row r="190" customFormat="false" ht="15" hidden="false" customHeight="false" outlineLevel="0" collapsed="false">
      <c r="A190" s="31" t="s">
        <v>398</v>
      </c>
      <c r="B190" s="32" t="n">
        <v>45670</v>
      </c>
      <c r="C190" s="31" t="s">
        <v>149</v>
      </c>
      <c r="D190" s="31" t="s">
        <v>150</v>
      </c>
      <c r="E190" s="31" t="s">
        <v>168</v>
      </c>
      <c r="F190" s="31" t="s">
        <v>169</v>
      </c>
      <c r="G190" s="31" t="s">
        <v>109</v>
      </c>
      <c r="H190" s="31" t="n">
        <v>1</v>
      </c>
      <c r="I190" s="33" t="n">
        <v>299.99</v>
      </c>
      <c r="J190" s="31" t="s">
        <v>89</v>
      </c>
      <c r="K190" s="31" t="s">
        <v>103</v>
      </c>
      <c r="L190" s="31" t="s">
        <v>85</v>
      </c>
      <c r="M190" s="32" t="n">
        <v>44436</v>
      </c>
      <c r="N190" s="33" t="n">
        <f aca="false">H190*I190</f>
        <v>299.99</v>
      </c>
      <c r="O190" s="31" t="n">
        <f aca="true">DATEDIF(B190,TODAY(),"d")</f>
        <v>634</v>
      </c>
      <c r="P190" s="32" t="n">
        <f aca="false">EOMONTH(B190,0)</f>
        <v>45688</v>
      </c>
      <c r="Q190" s="31" t="str">
        <f aca="false">IF(K190=Filter!$B$2,COUNTIF(K$2:K190,Filter!$B$2),"")</f>
        <v/>
      </c>
    </row>
    <row r="191" customFormat="false" ht="15" hidden="false" customHeight="false" outlineLevel="0" collapsed="false">
      <c r="A191" s="31" t="s">
        <v>399</v>
      </c>
      <c r="B191" s="32" t="n">
        <v>45671</v>
      </c>
      <c r="C191" s="31" t="s">
        <v>221</v>
      </c>
      <c r="D191" s="31" t="s">
        <v>222</v>
      </c>
      <c r="E191" s="31" t="s">
        <v>80</v>
      </c>
      <c r="F191" s="31" t="s">
        <v>81</v>
      </c>
      <c r="G191" s="31" t="s">
        <v>82</v>
      </c>
      <c r="H191" s="31" t="n">
        <v>4</v>
      </c>
      <c r="I191" s="33" t="n">
        <v>249.99</v>
      </c>
      <c r="J191" s="31" t="s">
        <v>89</v>
      </c>
      <c r="K191" s="31" t="s">
        <v>103</v>
      </c>
      <c r="L191" s="31" t="s">
        <v>90</v>
      </c>
      <c r="M191" s="32" t="n">
        <v>44460</v>
      </c>
      <c r="N191" s="33" t="n">
        <f aca="false">H191*I191</f>
        <v>999.96</v>
      </c>
      <c r="O191" s="31" t="n">
        <f aca="true">DATEDIF(B191,TODAY(),"d")</f>
        <v>633</v>
      </c>
      <c r="P191" s="32" t="n">
        <f aca="false">EOMONTH(B191,0)</f>
        <v>45688</v>
      </c>
      <c r="Q191" s="31" t="str">
        <f aca="false">IF(K191=Filter!$B$2,COUNTIF(K$2:K191,Filter!$B$2),"")</f>
        <v/>
      </c>
    </row>
    <row r="192" customFormat="false" ht="15" hidden="false" customHeight="false" outlineLevel="0" collapsed="false">
      <c r="A192" s="31" t="s">
        <v>400</v>
      </c>
      <c r="B192" s="32" t="n">
        <v>45671</v>
      </c>
      <c r="C192" s="31" t="s">
        <v>183</v>
      </c>
      <c r="D192" s="31" t="s">
        <v>184</v>
      </c>
      <c r="E192" s="31" t="s">
        <v>115</v>
      </c>
      <c r="F192" s="31" t="s">
        <v>116</v>
      </c>
      <c r="G192" s="31" t="s">
        <v>82</v>
      </c>
      <c r="H192" s="31" t="n">
        <v>2</v>
      </c>
      <c r="I192" s="33" t="n">
        <v>149.99</v>
      </c>
      <c r="J192" s="31" t="s">
        <v>83</v>
      </c>
      <c r="K192" s="31" t="s">
        <v>103</v>
      </c>
      <c r="L192" s="31" t="s">
        <v>99</v>
      </c>
      <c r="M192" s="32" t="n">
        <v>44913</v>
      </c>
      <c r="N192" s="33" t="n">
        <f aca="false">H192*I192</f>
        <v>299.98</v>
      </c>
      <c r="O192" s="31" t="n">
        <f aca="true">DATEDIF(B192,TODAY(),"d")</f>
        <v>633</v>
      </c>
      <c r="P192" s="32" t="n">
        <f aca="false">EOMONTH(B192,0)</f>
        <v>45688</v>
      </c>
      <c r="Q192" s="31" t="str">
        <f aca="false">IF(K192=Filter!$B$2,COUNTIF(K$2:K192,Filter!$B$2),"")</f>
        <v/>
      </c>
    </row>
    <row r="193" customFormat="false" ht="15" hidden="false" customHeight="false" outlineLevel="0" collapsed="false">
      <c r="A193" s="31" t="s">
        <v>401</v>
      </c>
      <c r="B193" s="32" t="n">
        <v>45671</v>
      </c>
      <c r="C193" s="31" t="s">
        <v>297</v>
      </c>
      <c r="D193" s="31" t="s">
        <v>298</v>
      </c>
      <c r="E193" s="31" t="s">
        <v>168</v>
      </c>
      <c r="F193" s="31" t="s">
        <v>169</v>
      </c>
      <c r="G193" s="31" t="s">
        <v>109</v>
      </c>
      <c r="H193" s="31" t="n">
        <v>3</v>
      </c>
      <c r="I193" s="33" t="n">
        <v>299.99</v>
      </c>
      <c r="J193" s="31" t="s">
        <v>89</v>
      </c>
      <c r="K193" s="31" t="s">
        <v>98</v>
      </c>
      <c r="L193" s="31" t="s">
        <v>85</v>
      </c>
      <c r="M193" s="32" t="n">
        <v>45204</v>
      </c>
      <c r="N193" s="33" t="n">
        <f aca="false">H193*I193</f>
        <v>899.97</v>
      </c>
      <c r="O193" s="31" t="n">
        <f aca="true">DATEDIF(B193,TODAY(),"d")</f>
        <v>633</v>
      </c>
      <c r="P193" s="32" t="n">
        <f aca="false">EOMONTH(B193,0)</f>
        <v>45688</v>
      </c>
      <c r="Q193" s="31" t="str">
        <f aca="false">IF(K193=Filter!$B$2,COUNTIF(K$2:K193,Filter!$B$2),"")</f>
        <v/>
      </c>
    </row>
    <row r="194" customFormat="false" ht="15" hidden="false" customHeight="false" outlineLevel="0" collapsed="false">
      <c r="A194" s="31" t="s">
        <v>402</v>
      </c>
      <c r="B194" s="32" t="n">
        <v>45673</v>
      </c>
      <c r="C194" s="31" t="s">
        <v>289</v>
      </c>
      <c r="D194" s="31" t="s">
        <v>290</v>
      </c>
      <c r="E194" s="31" t="s">
        <v>189</v>
      </c>
      <c r="F194" s="31" t="s">
        <v>190</v>
      </c>
      <c r="G194" s="31" t="s">
        <v>109</v>
      </c>
      <c r="H194" s="31" t="n">
        <v>4</v>
      </c>
      <c r="I194" s="33" t="n">
        <v>199.99</v>
      </c>
      <c r="J194" s="31" t="s">
        <v>120</v>
      </c>
      <c r="K194" s="31" t="s">
        <v>98</v>
      </c>
      <c r="L194" s="31" t="s">
        <v>99</v>
      </c>
      <c r="M194" s="32" t="n">
        <v>44544</v>
      </c>
      <c r="N194" s="33" t="n">
        <f aca="false">H194*I194</f>
        <v>799.96</v>
      </c>
      <c r="O194" s="31" t="n">
        <f aca="true">DATEDIF(B194,TODAY(),"d")</f>
        <v>631</v>
      </c>
      <c r="P194" s="32" t="n">
        <f aca="false">EOMONTH(B194,0)</f>
        <v>45688</v>
      </c>
      <c r="Q194" s="31" t="str">
        <f aca="false">IF(K194=Filter!$B$2,COUNTIF(K$2:K194,Filter!$B$2),"")</f>
        <v/>
      </c>
    </row>
    <row r="195" customFormat="false" ht="15" hidden="false" customHeight="false" outlineLevel="0" collapsed="false">
      <c r="A195" s="31" t="s">
        <v>403</v>
      </c>
      <c r="B195" s="32" t="n">
        <v>45673</v>
      </c>
      <c r="C195" s="31" t="s">
        <v>274</v>
      </c>
      <c r="D195" s="31" t="s">
        <v>275</v>
      </c>
      <c r="E195" s="31" t="s">
        <v>168</v>
      </c>
      <c r="F195" s="31" t="s">
        <v>169</v>
      </c>
      <c r="G195" s="31" t="s">
        <v>109</v>
      </c>
      <c r="H195" s="31" t="n">
        <v>5</v>
      </c>
      <c r="I195" s="33" t="n">
        <v>299.99</v>
      </c>
      <c r="J195" s="31" t="s">
        <v>120</v>
      </c>
      <c r="K195" s="31" t="s">
        <v>84</v>
      </c>
      <c r="L195" s="31" t="s">
        <v>85</v>
      </c>
      <c r="M195" s="32" t="n">
        <v>44431</v>
      </c>
      <c r="N195" s="33" t="n">
        <f aca="false">H195*I195</f>
        <v>1499.95</v>
      </c>
      <c r="O195" s="31" t="n">
        <f aca="true">DATEDIF(B195,TODAY(),"d")</f>
        <v>631</v>
      </c>
      <c r="P195" s="32" t="n">
        <f aca="false">EOMONTH(B195,0)</f>
        <v>45688</v>
      </c>
      <c r="Q195" s="31" t="str">
        <f aca="false">IF(K195=Filter!$B$2,COUNTIF(K$2:K195,Filter!$B$2),"")</f>
        <v/>
      </c>
    </row>
    <row r="196" customFormat="false" ht="15" hidden="false" customHeight="false" outlineLevel="0" collapsed="false">
      <c r="A196" s="31" t="s">
        <v>404</v>
      </c>
      <c r="B196" s="32" t="n">
        <v>45673</v>
      </c>
      <c r="C196" s="31" t="s">
        <v>122</v>
      </c>
      <c r="D196" s="31" t="s">
        <v>123</v>
      </c>
      <c r="E196" s="31" t="s">
        <v>107</v>
      </c>
      <c r="F196" s="31" t="s">
        <v>108</v>
      </c>
      <c r="G196" s="31" t="s">
        <v>109</v>
      </c>
      <c r="H196" s="31" t="n">
        <v>3</v>
      </c>
      <c r="I196" s="33" t="n">
        <v>149.99</v>
      </c>
      <c r="J196" s="31" t="s">
        <v>89</v>
      </c>
      <c r="K196" s="31" t="s">
        <v>126</v>
      </c>
      <c r="L196" s="31" t="s">
        <v>99</v>
      </c>
      <c r="M196" s="32" t="n">
        <v>44395</v>
      </c>
      <c r="N196" s="33" t="n">
        <f aca="false">H196*I196</f>
        <v>449.97</v>
      </c>
      <c r="O196" s="31" t="n">
        <f aca="true">DATEDIF(B196,TODAY(),"d")</f>
        <v>631</v>
      </c>
      <c r="P196" s="32" t="n">
        <f aca="false">EOMONTH(B196,0)</f>
        <v>45688</v>
      </c>
      <c r="Q196" s="31" t="str">
        <f aca="false">IF(K196=Filter!$B$2,COUNTIF(K$2:K196,Filter!$B$2),"")</f>
        <v/>
      </c>
    </row>
    <row r="197" customFormat="false" ht="15" hidden="false" customHeight="false" outlineLevel="0" collapsed="false">
      <c r="A197" s="31" t="s">
        <v>405</v>
      </c>
      <c r="B197" s="32" t="n">
        <v>45676</v>
      </c>
      <c r="C197" s="31" t="s">
        <v>192</v>
      </c>
      <c r="D197" s="31" t="s">
        <v>193</v>
      </c>
      <c r="E197" s="31" t="s">
        <v>94</v>
      </c>
      <c r="F197" s="31" t="s">
        <v>95</v>
      </c>
      <c r="G197" s="31" t="s">
        <v>96</v>
      </c>
      <c r="H197" s="31" t="n">
        <v>5</v>
      </c>
      <c r="I197" s="33" t="n">
        <v>59.99</v>
      </c>
      <c r="J197" s="31" t="s">
        <v>120</v>
      </c>
      <c r="K197" s="31" t="s">
        <v>126</v>
      </c>
      <c r="L197" s="31" t="s">
        <v>85</v>
      </c>
      <c r="M197" s="32" t="n">
        <v>44642</v>
      </c>
      <c r="N197" s="33" t="n">
        <f aca="false">H197*I197</f>
        <v>299.95</v>
      </c>
      <c r="O197" s="31" t="n">
        <f aca="true">DATEDIF(B197,TODAY(),"d")</f>
        <v>628</v>
      </c>
      <c r="P197" s="32" t="n">
        <f aca="false">EOMONTH(B197,0)</f>
        <v>45688</v>
      </c>
      <c r="Q197" s="31" t="str">
        <f aca="false">IF(K197=Filter!$B$2,COUNTIF(K$2:K197,Filter!$B$2),"")</f>
        <v/>
      </c>
    </row>
    <row r="198" customFormat="false" ht="15" hidden="false" customHeight="false" outlineLevel="0" collapsed="false">
      <c r="A198" s="31" t="s">
        <v>406</v>
      </c>
      <c r="B198" s="32" t="n">
        <v>45682</v>
      </c>
      <c r="C198" s="31" t="s">
        <v>131</v>
      </c>
      <c r="D198" s="31" t="s">
        <v>132</v>
      </c>
      <c r="E198" s="31" t="s">
        <v>94</v>
      </c>
      <c r="F198" s="31" t="s">
        <v>95</v>
      </c>
      <c r="G198" s="31" t="s">
        <v>96</v>
      </c>
      <c r="H198" s="31" t="n">
        <v>4</v>
      </c>
      <c r="I198" s="33" t="n">
        <v>59.99</v>
      </c>
      <c r="J198" s="31" t="s">
        <v>120</v>
      </c>
      <c r="K198" s="31" t="s">
        <v>126</v>
      </c>
      <c r="L198" s="31" t="s">
        <v>99</v>
      </c>
      <c r="M198" s="32" t="n">
        <v>44564</v>
      </c>
      <c r="N198" s="33" t="n">
        <f aca="false">H198*I198</f>
        <v>239.96</v>
      </c>
      <c r="O198" s="31" t="n">
        <f aca="true">DATEDIF(B198,TODAY(),"d")</f>
        <v>622</v>
      </c>
      <c r="P198" s="32" t="n">
        <f aca="false">EOMONTH(B198,0)</f>
        <v>45688</v>
      </c>
      <c r="Q198" s="31" t="str">
        <f aca="false">IF(K198=Filter!$B$2,COUNTIF(K$2:K198,Filter!$B$2),"")</f>
        <v/>
      </c>
    </row>
    <row r="199" customFormat="false" ht="15" hidden="false" customHeight="false" outlineLevel="0" collapsed="false">
      <c r="A199" s="31" t="s">
        <v>407</v>
      </c>
      <c r="B199" s="32" t="n">
        <v>45683</v>
      </c>
      <c r="C199" s="31" t="s">
        <v>111</v>
      </c>
      <c r="D199" s="31" t="s">
        <v>112</v>
      </c>
      <c r="E199" s="31" t="s">
        <v>80</v>
      </c>
      <c r="F199" s="31" t="s">
        <v>81</v>
      </c>
      <c r="G199" s="31" t="s">
        <v>82</v>
      </c>
      <c r="H199" s="31" t="n">
        <v>4</v>
      </c>
      <c r="I199" s="33" t="n">
        <v>249.99</v>
      </c>
      <c r="J199" s="31" t="s">
        <v>120</v>
      </c>
      <c r="K199" s="31" t="s">
        <v>84</v>
      </c>
      <c r="L199" s="31" t="s">
        <v>90</v>
      </c>
      <c r="M199" s="32" t="n">
        <v>45217</v>
      </c>
      <c r="N199" s="33" t="n">
        <f aca="false">H199*I199</f>
        <v>999.96</v>
      </c>
      <c r="O199" s="31" t="n">
        <f aca="true">DATEDIF(B199,TODAY(),"d")</f>
        <v>621</v>
      </c>
      <c r="P199" s="32" t="n">
        <f aca="false">EOMONTH(B199,0)</f>
        <v>45688</v>
      </c>
      <c r="Q199" s="31" t="str">
        <f aca="false">IF(K199=Filter!$B$2,COUNTIF(K$2:K199,Filter!$B$2),"")</f>
        <v/>
      </c>
    </row>
    <row r="200" customFormat="false" ht="15" hidden="false" customHeight="false" outlineLevel="0" collapsed="false">
      <c r="A200" s="31" t="s">
        <v>408</v>
      </c>
      <c r="B200" s="32" t="n">
        <v>45686</v>
      </c>
      <c r="C200" s="31" t="s">
        <v>315</v>
      </c>
      <c r="D200" s="31" t="s">
        <v>316</v>
      </c>
      <c r="E200" s="31" t="s">
        <v>124</v>
      </c>
      <c r="F200" s="31" t="s">
        <v>125</v>
      </c>
      <c r="G200" s="31" t="s">
        <v>82</v>
      </c>
      <c r="H200" s="31" t="n">
        <v>4</v>
      </c>
      <c r="I200" s="33" t="n">
        <v>899.99</v>
      </c>
      <c r="J200" s="31" t="s">
        <v>97</v>
      </c>
      <c r="K200" s="31" t="s">
        <v>84</v>
      </c>
      <c r="L200" s="31" t="s">
        <v>85</v>
      </c>
      <c r="M200" s="32" t="n">
        <v>44734</v>
      </c>
      <c r="N200" s="33" t="n">
        <f aca="false">H200*I200</f>
        <v>3599.96</v>
      </c>
      <c r="O200" s="31" t="n">
        <f aca="true">DATEDIF(B200,TODAY(),"d")</f>
        <v>618</v>
      </c>
      <c r="P200" s="32" t="n">
        <f aca="false">EOMONTH(B200,0)</f>
        <v>45688</v>
      </c>
      <c r="Q200" s="31" t="str">
        <f aca="false">IF(K200=Filter!$B$2,COUNTIF(K$2:K200,Filter!$B$2),"")</f>
        <v/>
      </c>
    </row>
    <row r="201" customFormat="false" ht="15" hidden="false" customHeight="false" outlineLevel="0" collapsed="false">
      <c r="A201" s="31" t="s">
        <v>409</v>
      </c>
      <c r="B201" s="32" t="n">
        <v>45686</v>
      </c>
      <c r="C201" s="31" t="s">
        <v>149</v>
      </c>
      <c r="D201" s="31" t="s">
        <v>150</v>
      </c>
      <c r="E201" s="31" t="s">
        <v>168</v>
      </c>
      <c r="F201" s="31" t="s">
        <v>169</v>
      </c>
      <c r="G201" s="31" t="s">
        <v>109</v>
      </c>
      <c r="H201" s="31" t="n">
        <v>3</v>
      </c>
      <c r="I201" s="33" t="n">
        <v>299.99</v>
      </c>
      <c r="J201" s="31" t="s">
        <v>120</v>
      </c>
      <c r="K201" s="31" t="s">
        <v>113</v>
      </c>
      <c r="L201" s="31" t="s">
        <v>99</v>
      </c>
      <c r="M201" s="32" t="n">
        <v>44952</v>
      </c>
      <c r="N201" s="33" t="n">
        <f aca="false">H201*I201</f>
        <v>899.97</v>
      </c>
      <c r="O201" s="31" t="n">
        <f aca="true">DATEDIF(B201,TODAY(),"d")</f>
        <v>618</v>
      </c>
      <c r="P201" s="32" t="n">
        <f aca="false">EOMONTH(B201,0)</f>
        <v>45688</v>
      </c>
      <c r="Q201" s="31" t="n">
        <f aca="false">IF(K201=Filter!$B$2,COUNTIF(K$2:K201,Filter!$B$2),"")</f>
        <v>34</v>
      </c>
    </row>
    <row r="202" customFormat="false" ht="15" hidden="false" customHeight="false" outlineLevel="0" collapsed="false">
      <c r="A202" s="31" t="s">
        <v>410</v>
      </c>
      <c r="B202" s="32" t="n">
        <v>45686</v>
      </c>
      <c r="C202" s="31" t="s">
        <v>356</v>
      </c>
      <c r="D202" s="31" t="s">
        <v>357</v>
      </c>
      <c r="E202" s="31" t="s">
        <v>143</v>
      </c>
      <c r="F202" s="31" t="s">
        <v>144</v>
      </c>
      <c r="G202" s="31" t="s">
        <v>82</v>
      </c>
      <c r="H202" s="31" t="n">
        <v>2</v>
      </c>
      <c r="I202" s="33" t="n">
        <v>699.99</v>
      </c>
      <c r="J202" s="31" t="s">
        <v>120</v>
      </c>
      <c r="K202" s="31" t="s">
        <v>84</v>
      </c>
      <c r="L202" s="31" t="s">
        <v>90</v>
      </c>
      <c r="M202" s="32" t="n">
        <v>44681</v>
      </c>
      <c r="N202" s="33" t="n">
        <f aca="false">H202*I202</f>
        <v>1399.98</v>
      </c>
      <c r="O202" s="31" t="n">
        <f aca="true">DATEDIF(B202,TODAY(),"d")</f>
        <v>618</v>
      </c>
      <c r="P202" s="32" t="n">
        <f aca="false">EOMONTH(B202,0)</f>
        <v>45688</v>
      </c>
      <c r="Q202" s="31" t="str">
        <f aca="false">IF(K202=Filter!$B$2,COUNTIF(K$2:K202,Filter!$B$2),"")</f>
        <v/>
      </c>
    </row>
    <row r="203" customFormat="false" ht="15" hidden="false" customHeight="false" outlineLevel="0" collapsed="false">
      <c r="A203" s="31" t="s">
        <v>411</v>
      </c>
      <c r="B203" s="32" t="n">
        <v>45688</v>
      </c>
      <c r="C203" s="31" t="s">
        <v>128</v>
      </c>
      <c r="D203" s="31" t="s">
        <v>129</v>
      </c>
      <c r="E203" s="31" t="s">
        <v>143</v>
      </c>
      <c r="F203" s="31" t="s">
        <v>144</v>
      </c>
      <c r="G203" s="31" t="s">
        <v>82</v>
      </c>
      <c r="H203" s="31" t="n">
        <v>4</v>
      </c>
      <c r="I203" s="33" t="n">
        <v>699.99</v>
      </c>
      <c r="J203" s="31" t="s">
        <v>83</v>
      </c>
      <c r="K203" s="31" t="s">
        <v>113</v>
      </c>
      <c r="L203" s="31" t="s">
        <v>90</v>
      </c>
      <c r="M203" s="32" t="n">
        <v>44692</v>
      </c>
      <c r="N203" s="33" t="n">
        <f aca="false">H203*I203</f>
        <v>2799.96</v>
      </c>
      <c r="O203" s="31" t="n">
        <f aca="true">DATEDIF(B203,TODAY(),"d")</f>
        <v>616</v>
      </c>
      <c r="P203" s="32" t="n">
        <f aca="false">EOMONTH(B203,0)</f>
        <v>45688</v>
      </c>
      <c r="Q203" s="31" t="n">
        <f aca="false">IF(K203=Filter!$B$2,COUNTIF(K$2:K203,Filter!$B$2),"")</f>
        <v>35</v>
      </c>
    </row>
    <row r="204" customFormat="false" ht="15" hidden="false" customHeight="false" outlineLevel="0" collapsed="false">
      <c r="A204" s="31" t="s">
        <v>412</v>
      </c>
      <c r="B204" s="32" t="n">
        <v>45688</v>
      </c>
      <c r="C204" s="31" t="s">
        <v>186</v>
      </c>
      <c r="D204" s="31" t="s">
        <v>187</v>
      </c>
      <c r="E204" s="31" t="s">
        <v>180</v>
      </c>
      <c r="F204" s="31" t="s">
        <v>181</v>
      </c>
      <c r="G204" s="31" t="s">
        <v>82</v>
      </c>
      <c r="H204" s="31" t="n">
        <v>2</v>
      </c>
      <c r="I204" s="33" t="n">
        <v>89.99</v>
      </c>
      <c r="J204" s="31" t="s">
        <v>120</v>
      </c>
      <c r="K204" s="31" t="s">
        <v>98</v>
      </c>
      <c r="L204" s="31" t="s">
        <v>85</v>
      </c>
      <c r="M204" s="32" t="n">
        <v>44777</v>
      </c>
      <c r="N204" s="33" t="n">
        <f aca="false">H204*I204</f>
        <v>179.98</v>
      </c>
      <c r="O204" s="31" t="n">
        <f aca="true">DATEDIF(B204,TODAY(),"d")</f>
        <v>616</v>
      </c>
      <c r="P204" s="32" t="n">
        <f aca="false">EOMONTH(B204,0)</f>
        <v>45688</v>
      </c>
      <c r="Q204" s="31" t="str">
        <f aca="false">IF(K204=Filter!$B$2,COUNTIF(K$2:K204,Filter!$B$2),"")</f>
        <v/>
      </c>
    </row>
    <row r="205" customFormat="false" ht="15" hidden="false" customHeight="false" outlineLevel="0" collapsed="false">
      <c r="A205" s="31" t="s">
        <v>413</v>
      </c>
      <c r="B205" s="32" t="n">
        <v>45688</v>
      </c>
      <c r="C205" s="31" t="s">
        <v>105</v>
      </c>
      <c r="D205" s="31" t="s">
        <v>106</v>
      </c>
      <c r="E205" s="31" t="s">
        <v>180</v>
      </c>
      <c r="F205" s="31" t="s">
        <v>181</v>
      </c>
      <c r="G205" s="31" t="s">
        <v>82</v>
      </c>
      <c r="H205" s="31" t="n">
        <v>3</v>
      </c>
      <c r="I205" s="33" t="n">
        <v>89.99</v>
      </c>
      <c r="J205" s="31" t="s">
        <v>120</v>
      </c>
      <c r="K205" s="31" t="s">
        <v>98</v>
      </c>
      <c r="L205" s="31" t="s">
        <v>90</v>
      </c>
      <c r="M205" s="32" t="n">
        <v>45307</v>
      </c>
      <c r="N205" s="33" t="n">
        <f aca="false">H205*I205</f>
        <v>269.97</v>
      </c>
      <c r="O205" s="31" t="n">
        <f aca="true">DATEDIF(B205,TODAY(),"d")</f>
        <v>616</v>
      </c>
      <c r="P205" s="32" t="n">
        <f aca="false">EOMONTH(B205,0)</f>
        <v>45688</v>
      </c>
      <c r="Q205" s="31" t="str">
        <f aca="false">IF(K205=Filter!$B$2,COUNTIF(K$2:K205,Filter!$B$2),"")</f>
        <v/>
      </c>
    </row>
    <row r="206" customFormat="false" ht="15" hidden="false" customHeight="false" outlineLevel="0" collapsed="false">
      <c r="A206" s="31" t="s">
        <v>414</v>
      </c>
      <c r="B206" s="32" t="n">
        <v>45692</v>
      </c>
      <c r="C206" s="31" t="s">
        <v>388</v>
      </c>
      <c r="D206" s="31" t="s">
        <v>389</v>
      </c>
      <c r="E206" s="31" t="s">
        <v>94</v>
      </c>
      <c r="F206" s="31" t="s">
        <v>95</v>
      </c>
      <c r="G206" s="31" t="s">
        <v>96</v>
      </c>
      <c r="H206" s="31" t="n">
        <v>1</v>
      </c>
      <c r="I206" s="33" t="n">
        <v>59.99</v>
      </c>
      <c r="J206" s="31" t="s">
        <v>120</v>
      </c>
      <c r="K206" s="31" t="s">
        <v>84</v>
      </c>
      <c r="L206" s="31" t="s">
        <v>99</v>
      </c>
      <c r="M206" s="32" t="n">
        <v>45045</v>
      </c>
      <c r="N206" s="33" t="n">
        <f aca="false">H206*I206</f>
        <v>59.99</v>
      </c>
      <c r="O206" s="31" t="n">
        <f aca="true">DATEDIF(B206,TODAY(),"d")</f>
        <v>612</v>
      </c>
      <c r="P206" s="32" t="n">
        <f aca="false">EOMONTH(B206,0)</f>
        <v>45716</v>
      </c>
      <c r="Q206" s="31" t="str">
        <f aca="false">IF(K206=Filter!$B$2,COUNTIF(K$2:K206,Filter!$B$2),"")</f>
        <v/>
      </c>
    </row>
    <row r="207" customFormat="false" ht="15" hidden="false" customHeight="false" outlineLevel="0" collapsed="false">
      <c r="A207" s="31" t="s">
        <v>415</v>
      </c>
      <c r="B207" s="32" t="n">
        <v>45695</v>
      </c>
      <c r="C207" s="31" t="s">
        <v>309</v>
      </c>
      <c r="D207" s="31" t="s">
        <v>310</v>
      </c>
      <c r="E207" s="31" t="s">
        <v>107</v>
      </c>
      <c r="F207" s="31" t="s">
        <v>108</v>
      </c>
      <c r="G207" s="31" t="s">
        <v>109</v>
      </c>
      <c r="H207" s="31" t="n">
        <v>3</v>
      </c>
      <c r="I207" s="33" t="n">
        <v>149.99</v>
      </c>
      <c r="J207" s="31" t="s">
        <v>120</v>
      </c>
      <c r="K207" s="31" t="s">
        <v>103</v>
      </c>
      <c r="L207" s="31" t="s">
        <v>90</v>
      </c>
      <c r="M207" s="32" t="n">
        <v>44564</v>
      </c>
      <c r="N207" s="33" t="n">
        <f aca="false">H207*I207</f>
        <v>449.97</v>
      </c>
      <c r="O207" s="31" t="n">
        <f aca="true">DATEDIF(B207,TODAY(),"d")</f>
        <v>609</v>
      </c>
      <c r="P207" s="32" t="n">
        <f aca="false">EOMONTH(B207,0)</f>
        <v>45716</v>
      </c>
      <c r="Q207" s="31" t="str">
        <f aca="false">IF(K207=Filter!$B$2,COUNTIF(K$2:K207,Filter!$B$2),"")</f>
        <v/>
      </c>
    </row>
    <row r="208" customFormat="false" ht="15" hidden="false" customHeight="false" outlineLevel="0" collapsed="false">
      <c r="A208" s="31" t="s">
        <v>416</v>
      </c>
      <c r="B208" s="32" t="n">
        <v>45695</v>
      </c>
      <c r="C208" s="31" t="s">
        <v>156</v>
      </c>
      <c r="D208" s="31" t="s">
        <v>157</v>
      </c>
      <c r="E208" s="31" t="s">
        <v>168</v>
      </c>
      <c r="F208" s="31" t="s">
        <v>169</v>
      </c>
      <c r="G208" s="31" t="s">
        <v>109</v>
      </c>
      <c r="H208" s="31" t="n">
        <v>5</v>
      </c>
      <c r="I208" s="33" t="n">
        <v>299.99</v>
      </c>
      <c r="J208" s="31" t="s">
        <v>89</v>
      </c>
      <c r="K208" s="31" t="s">
        <v>98</v>
      </c>
      <c r="L208" s="31" t="s">
        <v>85</v>
      </c>
      <c r="M208" s="32" t="n">
        <v>44959</v>
      </c>
      <c r="N208" s="33" t="n">
        <f aca="false">H208*I208</f>
        <v>1499.95</v>
      </c>
      <c r="O208" s="31" t="n">
        <f aca="true">DATEDIF(B208,TODAY(),"d")</f>
        <v>609</v>
      </c>
      <c r="P208" s="32" t="n">
        <f aca="false">EOMONTH(B208,0)</f>
        <v>45716</v>
      </c>
      <c r="Q208" s="31" t="str">
        <f aca="false">IF(K208=Filter!$B$2,COUNTIF(K$2:K208,Filter!$B$2),"")</f>
        <v/>
      </c>
    </row>
    <row r="209" customFormat="false" ht="15" hidden="false" customHeight="false" outlineLevel="0" collapsed="false">
      <c r="A209" s="31" t="s">
        <v>417</v>
      </c>
      <c r="B209" s="32" t="n">
        <v>45696</v>
      </c>
      <c r="C209" s="31" t="s">
        <v>213</v>
      </c>
      <c r="D209" s="31" t="s">
        <v>214</v>
      </c>
      <c r="E209" s="31" t="s">
        <v>94</v>
      </c>
      <c r="F209" s="31" t="s">
        <v>95</v>
      </c>
      <c r="G209" s="31" t="s">
        <v>96</v>
      </c>
      <c r="H209" s="31" t="n">
        <v>5</v>
      </c>
      <c r="I209" s="33" t="n">
        <v>59.99</v>
      </c>
      <c r="J209" s="31" t="s">
        <v>120</v>
      </c>
      <c r="K209" s="31" t="s">
        <v>84</v>
      </c>
      <c r="L209" s="31" t="s">
        <v>99</v>
      </c>
      <c r="M209" s="32" t="n">
        <v>45177</v>
      </c>
      <c r="N209" s="33" t="n">
        <f aca="false">H209*I209</f>
        <v>299.95</v>
      </c>
      <c r="O209" s="31" t="n">
        <f aca="true">DATEDIF(B209,TODAY(),"d")</f>
        <v>608</v>
      </c>
      <c r="P209" s="32" t="n">
        <f aca="false">EOMONTH(B209,0)</f>
        <v>45716</v>
      </c>
      <c r="Q209" s="31" t="str">
        <f aca="false">IF(K209=Filter!$B$2,COUNTIF(K$2:K209,Filter!$B$2),"")</f>
        <v/>
      </c>
    </row>
    <row r="210" customFormat="false" ht="15" hidden="false" customHeight="false" outlineLevel="0" collapsed="false">
      <c r="A210" s="31" t="s">
        <v>418</v>
      </c>
      <c r="B210" s="32" t="n">
        <v>45701</v>
      </c>
      <c r="C210" s="31" t="s">
        <v>171</v>
      </c>
      <c r="D210" s="31" t="s">
        <v>172</v>
      </c>
      <c r="E210" s="31" t="s">
        <v>177</v>
      </c>
      <c r="F210" s="31" t="s">
        <v>178</v>
      </c>
      <c r="G210" s="31" t="s">
        <v>96</v>
      </c>
      <c r="H210" s="31" t="n">
        <v>3</v>
      </c>
      <c r="I210" s="33" t="n">
        <v>79.99</v>
      </c>
      <c r="J210" s="31" t="s">
        <v>83</v>
      </c>
      <c r="K210" s="31" t="s">
        <v>126</v>
      </c>
      <c r="L210" s="31" t="s">
        <v>90</v>
      </c>
      <c r="M210" s="32" t="n">
        <v>44436</v>
      </c>
      <c r="N210" s="33" t="n">
        <f aca="false">H210*I210</f>
        <v>239.97</v>
      </c>
      <c r="O210" s="31" t="n">
        <f aca="true">DATEDIF(B210,TODAY(),"d")</f>
        <v>603</v>
      </c>
      <c r="P210" s="32" t="n">
        <f aca="false">EOMONTH(B210,0)</f>
        <v>45716</v>
      </c>
      <c r="Q210" s="31" t="str">
        <f aca="false">IF(K210=Filter!$B$2,COUNTIF(K$2:K210,Filter!$B$2),"")</f>
        <v/>
      </c>
    </row>
    <row r="211" customFormat="false" ht="15" hidden="false" customHeight="false" outlineLevel="0" collapsed="false">
      <c r="A211" s="31" t="s">
        <v>419</v>
      </c>
      <c r="B211" s="32" t="n">
        <v>45704</v>
      </c>
      <c r="C211" s="31" t="s">
        <v>92</v>
      </c>
      <c r="D211" s="31" t="s">
        <v>93</v>
      </c>
      <c r="E211" s="31" t="s">
        <v>189</v>
      </c>
      <c r="F211" s="31" t="s">
        <v>190</v>
      </c>
      <c r="G211" s="31" t="s">
        <v>109</v>
      </c>
      <c r="H211" s="31" t="n">
        <v>3</v>
      </c>
      <c r="I211" s="33" t="n">
        <v>199.99</v>
      </c>
      <c r="J211" s="31" t="s">
        <v>83</v>
      </c>
      <c r="K211" s="31" t="s">
        <v>84</v>
      </c>
      <c r="L211" s="31" t="s">
        <v>85</v>
      </c>
      <c r="M211" s="32" t="n">
        <v>44735</v>
      </c>
      <c r="N211" s="33" t="n">
        <f aca="false">H211*I211</f>
        <v>599.97</v>
      </c>
      <c r="O211" s="31" t="n">
        <f aca="true">DATEDIF(B211,TODAY(),"d")</f>
        <v>600</v>
      </c>
      <c r="P211" s="32" t="n">
        <f aca="false">EOMONTH(B211,0)</f>
        <v>45716</v>
      </c>
      <c r="Q211" s="31" t="str">
        <f aca="false">IF(K211=Filter!$B$2,COUNTIF(K$2:K211,Filter!$B$2),"")</f>
        <v/>
      </c>
    </row>
    <row r="212" customFormat="false" ht="15" hidden="false" customHeight="false" outlineLevel="0" collapsed="false">
      <c r="A212" s="31" t="s">
        <v>420</v>
      </c>
      <c r="B212" s="32" t="n">
        <v>45704</v>
      </c>
      <c r="C212" s="31" t="s">
        <v>78</v>
      </c>
      <c r="D212" s="31" t="s">
        <v>79</v>
      </c>
      <c r="E212" s="31" t="s">
        <v>180</v>
      </c>
      <c r="F212" s="31" t="s">
        <v>181</v>
      </c>
      <c r="G212" s="31" t="s">
        <v>82</v>
      </c>
      <c r="H212" s="31" t="n">
        <v>2</v>
      </c>
      <c r="I212" s="33" t="n">
        <v>89.99</v>
      </c>
      <c r="J212" s="31" t="s">
        <v>97</v>
      </c>
      <c r="K212" s="31" t="s">
        <v>84</v>
      </c>
      <c r="L212" s="31" t="s">
        <v>85</v>
      </c>
      <c r="M212" s="32" t="n">
        <v>45257</v>
      </c>
      <c r="N212" s="33" t="n">
        <f aca="false">H212*I212</f>
        <v>179.98</v>
      </c>
      <c r="O212" s="31" t="n">
        <f aca="true">DATEDIF(B212,TODAY(),"d")</f>
        <v>600</v>
      </c>
      <c r="P212" s="32" t="n">
        <f aca="false">EOMONTH(B212,0)</f>
        <v>45716</v>
      </c>
      <c r="Q212" s="31" t="str">
        <f aca="false">IF(K212=Filter!$B$2,COUNTIF(K$2:K212,Filter!$B$2),"")</f>
        <v/>
      </c>
    </row>
    <row r="213" customFormat="false" ht="15" hidden="false" customHeight="false" outlineLevel="0" collapsed="false">
      <c r="A213" s="31" t="s">
        <v>421</v>
      </c>
      <c r="B213" s="32" t="n">
        <v>45705</v>
      </c>
      <c r="C213" s="31" t="s">
        <v>322</v>
      </c>
      <c r="D213" s="31" t="s">
        <v>323</v>
      </c>
      <c r="E213" s="31" t="s">
        <v>107</v>
      </c>
      <c r="F213" s="31" t="s">
        <v>108</v>
      </c>
      <c r="G213" s="31" t="s">
        <v>109</v>
      </c>
      <c r="H213" s="31" t="n">
        <v>2</v>
      </c>
      <c r="I213" s="33" t="n">
        <v>149.99</v>
      </c>
      <c r="J213" s="31" t="s">
        <v>83</v>
      </c>
      <c r="K213" s="31" t="s">
        <v>98</v>
      </c>
      <c r="L213" s="31" t="s">
        <v>90</v>
      </c>
      <c r="M213" s="32" t="n">
        <v>44728</v>
      </c>
      <c r="N213" s="33" t="n">
        <f aca="false">H213*I213</f>
        <v>299.98</v>
      </c>
      <c r="O213" s="31" t="n">
        <f aca="true">DATEDIF(B213,TODAY(),"d")</f>
        <v>599</v>
      </c>
      <c r="P213" s="32" t="n">
        <f aca="false">EOMONTH(B213,0)</f>
        <v>45716</v>
      </c>
      <c r="Q213" s="31" t="str">
        <f aca="false">IF(K213=Filter!$B$2,COUNTIF(K$2:K213,Filter!$B$2),"")</f>
        <v/>
      </c>
    </row>
    <row r="214" customFormat="false" ht="15" hidden="false" customHeight="false" outlineLevel="0" collapsed="false">
      <c r="A214" s="31" t="s">
        <v>422</v>
      </c>
      <c r="B214" s="32" t="n">
        <v>45707</v>
      </c>
      <c r="C214" s="31" t="s">
        <v>186</v>
      </c>
      <c r="D214" s="31" t="s">
        <v>187</v>
      </c>
      <c r="E214" s="31" t="s">
        <v>143</v>
      </c>
      <c r="F214" s="31" t="s">
        <v>144</v>
      </c>
      <c r="G214" s="31" t="s">
        <v>82</v>
      </c>
      <c r="H214" s="31" t="n">
        <v>5</v>
      </c>
      <c r="I214" s="33" t="n">
        <v>699.99</v>
      </c>
      <c r="J214" s="31" t="s">
        <v>97</v>
      </c>
      <c r="K214" s="31" t="s">
        <v>98</v>
      </c>
      <c r="L214" s="31" t="s">
        <v>90</v>
      </c>
      <c r="M214" s="32" t="n">
        <v>45352</v>
      </c>
      <c r="N214" s="33" t="n">
        <f aca="false">H214*I214</f>
        <v>3499.95</v>
      </c>
      <c r="O214" s="31" t="n">
        <f aca="true">DATEDIF(B214,TODAY(),"d")</f>
        <v>597</v>
      </c>
      <c r="P214" s="32" t="n">
        <f aca="false">EOMONTH(B214,0)</f>
        <v>45716</v>
      </c>
      <c r="Q214" s="31" t="str">
        <f aca="false">IF(K214=Filter!$B$2,COUNTIF(K$2:K214,Filter!$B$2),"")</f>
        <v/>
      </c>
    </row>
    <row r="215" customFormat="false" ht="15" hidden="false" customHeight="false" outlineLevel="0" collapsed="false">
      <c r="A215" s="31" t="s">
        <v>423</v>
      </c>
      <c r="B215" s="32" t="n">
        <v>45707</v>
      </c>
      <c r="C215" s="31" t="s">
        <v>105</v>
      </c>
      <c r="D215" s="31" t="s">
        <v>106</v>
      </c>
      <c r="E215" s="31" t="s">
        <v>107</v>
      </c>
      <c r="F215" s="31" t="s">
        <v>108</v>
      </c>
      <c r="G215" s="31" t="s">
        <v>109</v>
      </c>
      <c r="H215" s="31" t="n">
        <v>3</v>
      </c>
      <c r="I215" s="33" t="n">
        <v>149.99</v>
      </c>
      <c r="J215" s="31" t="s">
        <v>97</v>
      </c>
      <c r="K215" s="31" t="s">
        <v>84</v>
      </c>
      <c r="L215" s="31" t="s">
        <v>99</v>
      </c>
      <c r="M215" s="32" t="n">
        <v>44633</v>
      </c>
      <c r="N215" s="33" t="n">
        <f aca="false">H215*I215</f>
        <v>449.97</v>
      </c>
      <c r="O215" s="31" t="n">
        <f aca="true">DATEDIF(B215,TODAY(),"d")</f>
        <v>597</v>
      </c>
      <c r="P215" s="32" t="n">
        <f aca="false">EOMONTH(B215,0)</f>
        <v>45716</v>
      </c>
      <c r="Q215" s="31" t="str">
        <f aca="false">IF(K215=Filter!$B$2,COUNTIF(K$2:K215,Filter!$B$2),"")</f>
        <v/>
      </c>
    </row>
    <row r="216" customFormat="false" ht="15" hidden="false" customHeight="false" outlineLevel="0" collapsed="false">
      <c r="A216" s="31" t="s">
        <v>424</v>
      </c>
      <c r="B216" s="32" t="n">
        <v>45708</v>
      </c>
      <c r="C216" s="31" t="s">
        <v>159</v>
      </c>
      <c r="D216" s="31" t="s">
        <v>160</v>
      </c>
      <c r="E216" s="31" t="s">
        <v>124</v>
      </c>
      <c r="F216" s="31" t="s">
        <v>125</v>
      </c>
      <c r="G216" s="31" t="s">
        <v>82</v>
      </c>
      <c r="H216" s="31" t="n">
        <v>3</v>
      </c>
      <c r="I216" s="33" t="n">
        <v>899.99</v>
      </c>
      <c r="J216" s="31" t="s">
        <v>83</v>
      </c>
      <c r="K216" s="31" t="s">
        <v>126</v>
      </c>
      <c r="L216" s="31" t="s">
        <v>99</v>
      </c>
      <c r="M216" s="32" t="n">
        <v>44613</v>
      </c>
      <c r="N216" s="33" t="n">
        <f aca="false">H216*I216</f>
        <v>2699.97</v>
      </c>
      <c r="O216" s="31" t="n">
        <f aca="true">DATEDIF(B216,TODAY(),"d")</f>
        <v>596</v>
      </c>
      <c r="P216" s="32" t="n">
        <f aca="false">EOMONTH(B216,0)</f>
        <v>45716</v>
      </c>
      <c r="Q216" s="31" t="str">
        <f aca="false">IF(K216=Filter!$B$2,COUNTIF(K$2:K216,Filter!$B$2),"")</f>
        <v/>
      </c>
    </row>
    <row r="217" customFormat="false" ht="15" hidden="false" customHeight="false" outlineLevel="0" collapsed="false">
      <c r="A217" s="31" t="s">
        <v>425</v>
      </c>
      <c r="B217" s="32" t="n">
        <v>45708</v>
      </c>
      <c r="C217" s="31" t="s">
        <v>255</v>
      </c>
      <c r="D217" s="31" t="s">
        <v>256</v>
      </c>
      <c r="E217" s="31" t="s">
        <v>189</v>
      </c>
      <c r="F217" s="31" t="s">
        <v>190</v>
      </c>
      <c r="G217" s="31" t="s">
        <v>109</v>
      </c>
      <c r="H217" s="31" t="n">
        <v>3</v>
      </c>
      <c r="I217" s="33" t="n">
        <v>199.99</v>
      </c>
      <c r="J217" s="31" t="s">
        <v>83</v>
      </c>
      <c r="K217" s="31" t="s">
        <v>113</v>
      </c>
      <c r="L217" s="31" t="s">
        <v>90</v>
      </c>
      <c r="M217" s="32" t="n">
        <v>44823</v>
      </c>
      <c r="N217" s="33" t="n">
        <f aca="false">H217*I217</f>
        <v>599.97</v>
      </c>
      <c r="O217" s="31" t="n">
        <f aca="true">DATEDIF(B217,TODAY(),"d")</f>
        <v>596</v>
      </c>
      <c r="P217" s="32" t="n">
        <f aca="false">EOMONTH(B217,0)</f>
        <v>45716</v>
      </c>
      <c r="Q217" s="31" t="n">
        <f aca="false">IF(K217=Filter!$B$2,COUNTIF(K$2:K217,Filter!$B$2),"")</f>
        <v>36</v>
      </c>
    </row>
    <row r="218" customFormat="false" ht="15" hidden="false" customHeight="false" outlineLevel="0" collapsed="false">
      <c r="A218" s="31" t="s">
        <v>426</v>
      </c>
      <c r="B218" s="32" t="n">
        <v>45710</v>
      </c>
      <c r="C218" s="31" t="s">
        <v>118</v>
      </c>
      <c r="D218" s="31" t="s">
        <v>119</v>
      </c>
      <c r="E218" s="31" t="s">
        <v>168</v>
      </c>
      <c r="F218" s="31" t="s">
        <v>169</v>
      </c>
      <c r="G218" s="31" t="s">
        <v>109</v>
      </c>
      <c r="H218" s="31" t="n">
        <v>5</v>
      </c>
      <c r="I218" s="33" t="n">
        <v>299.99</v>
      </c>
      <c r="J218" s="31" t="s">
        <v>83</v>
      </c>
      <c r="K218" s="31" t="s">
        <v>113</v>
      </c>
      <c r="L218" s="31" t="s">
        <v>99</v>
      </c>
      <c r="M218" s="32" t="n">
        <v>45142</v>
      </c>
      <c r="N218" s="33" t="n">
        <f aca="false">H218*I218</f>
        <v>1499.95</v>
      </c>
      <c r="O218" s="31" t="n">
        <f aca="true">DATEDIF(B218,TODAY(),"d")</f>
        <v>594</v>
      </c>
      <c r="P218" s="32" t="n">
        <f aca="false">EOMONTH(B218,0)</f>
        <v>45716</v>
      </c>
      <c r="Q218" s="31" t="n">
        <f aca="false">IF(K218=Filter!$B$2,COUNTIF(K$2:K218,Filter!$B$2),"")</f>
        <v>37</v>
      </c>
    </row>
    <row r="219" customFormat="false" ht="15" hidden="false" customHeight="false" outlineLevel="0" collapsed="false">
      <c r="A219" s="31" t="s">
        <v>427</v>
      </c>
      <c r="B219" s="32" t="n">
        <v>45710</v>
      </c>
      <c r="C219" s="31" t="s">
        <v>213</v>
      </c>
      <c r="D219" s="31" t="s">
        <v>214</v>
      </c>
      <c r="E219" s="31" t="s">
        <v>143</v>
      </c>
      <c r="F219" s="31" t="s">
        <v>144</v>
      </c>
      <c r="G219" s="31" t="s">
        <v>82</v>
      </c>
      <c r="H219" s="31" t="n">
        <v>1</v>
      </c>
      <c r="I219" s="33" t="n">
        <v>699.99</v>
      </c>
      <c r="J219" s="31" t="s">
        <v>97</v>
      </c>
      <c r="K219" s="31" t="s">
        <v>113</v>
      </c>
      <c r="L219" s="31" t="s">
        <v>85</v>
      </c>
      <c r="M219" s="32" t="n">
        <v>44934</v>
      </c>
      <c r="N219" s="33" t="n">
        <f aca="false">H219*I219</f>
        <v>699.99</v>
      </c>
      <c r="O219" s="31" t="n">
        <f aca="true">DATEDIF(B219,TODAY(),"d")</f>
        <v>594</v>
      </c>
      <c r="P219" s="32" t="n">
        <f aca="false">EOMONTH(B219,0)</f>
        <v>45716</v>
      </c>
      <c r="Q219" s="31" t="n">
        <f aca="false">IF(K219=Filter!$B$2,COUNTIF(K$2:K219,Filter!$B$2),"")</f>
        <v>38</v>
      </c>
    </row>
    <row r="220" customFormat="false" ht="15" hidden="false" customHeight="false" outlineLevel="0" collapsed="false">
      <c r="A220" s="31" t="s">
        <v>428</v>
      </c>
      <c r="B220" s="32" t="n">
        <v>45711</v>
      </c>
      <c r="C220" s="31" t="s">
        <v>309</v>
      </c>
      <c r="D220" s="31" t="s">
        <v>310</v>
      </c>
      <c r="E220" s="31" t="s">
        <v>143</v>
      </c>
      <c r="F220" s="31" t="s">
        <v>144</v>
      </c>
      <c r="G220" s="31" t="s">
        <v>82</v>
      </c>
      <c r="H220" s="31" t="n">
        <v>1</v>
      </c>
      <c r="I220" s="33" t="n">
        <v>699.99</v>
      </c>
      <c r="J220" s="31" t="s">
        <v>83</v>
      </c>
      <c r="K220" s="31" t="s">
        <v>103</v>
      </c>
      <c r="L220" s="31" t="s">
        <v>90</v>
      </c>
      <c r="M220" s="32" t="n">
        <v>44583</v>
      </c>
      <c r="N220" s="33" t="n">
        <f aca="false">H220*I220</f>
        <v>699.99</v>
      </c>
      <c r="O220" s="31" t="n">
        <f aca="true">DATEDIF(B220,TODAY(),"d")</f>
        <v>593</v>
      </c>
      <c r="P220" s="32" t="n">
        <f aca="false">EOMONTH(B220,0)</f>
        <v>45716</v>
      </c>
      <c r="Q220" s="31" t="str">
        <f aca="false">IF(K220=Filter!$B$2,COUNTIF(K$2:K220,Filter!$B$2),"")</f>
        <v/>
      </c>
    </row>
    <row r="221" customFormat="false" ht="15" hidden="false" customHeight="false" outlineLevel="0" collapsed="false">
      <c r="A221" s="31" t="s">
        <v>429</v>
      </c>
      <c r="B221" s="32" t="n">
        <v>45711</v>
      </c>
      <c r="C221" s="31" t="s">
        <v>388</v>
      </c>
      <c r="D221" s="31" t="s">
        <v>389</v>
      </c>
      <c r="E221" s="31" t="s">
        <v>107</v>
      </c>
      <c r="F221" s="31" t="s">
        <v>108</v>
      </c>
      <c r="G221" s="31" t="s">
        <v>109</v>
      </c>
      <c r="H221" s="31" t="n">
        <v>4</v>
      </c>
      <c r="I221" s="33" t="n">
        <v>149.99</v>
      </c>
      <c r="J221" s="31" t="s">
        <v>97</v>
      </c>
      <c r="K221" s="31" t="s">
        <v>103</v>
      </c>
      <c r="L221" s="31" t="s">
        <v>90</v>
      </c>
      <c r="M221" s="32" t="n">
        <v>44412</v>
      </c>
      <c r="N221" s="33" t="n">
        <f aca="false">H221*I221</f>
        <v>599.96</v>
      </c>
      <c r="O221" s="31" t="n">
        <f aca="true">DATEDIF(B221,TODAY(),"d")</f>
        <v>593</v>
      </c>
      <c r="P221" s="32" t="n">
        <f aca="false">EOMONTH(B221,0)</f>
        <v>45716</v>
      </c>
      <c r="Q221" s="31" t="str">
        <f aca="false">IF(K221=Filter!$B$2,COUNTIF(K$2:K221,Filter!$B$2),"")</f>
        <v/>
      </c>
    </row>
    <row r="222" customFormat="false" ht="15" hidden="false" customHeight="false" outlineLevel="0" collapsed="false">
      <c r="A222" s="31" t="s">
        <v>430</v>
      </c>
      <c r="B222" s="32" t="n">
        <v>45711</v>
      </c>
      <c r="C222" s="31" t="s">
        <v>274</v>
      </c>
      <c r="D222" s="31" t="s">
        <v>275</v>
      </c>
      <c r="E222" s="31" t="s">
        <v>180</v>
      </c>
      <c r="F222" s="31" t="s">
        <v>181</v>
      </c>
      <c r="G222" s="31" t="s">
        <v>82</v>
      </c>
      <c r="H222" s="31" t="n">
        <v>5</v>
      </c>
      <c r="I222" s="33" t="n">
        <v>89.99</v>
      </c>
      <c r="J222" s="31" t="s">
        <v>97</v>
      </c>
      <c r="K222" s="31" t="s">
        <v>113</v>
      </c>
      <c r="L222" s="31" t="s">
        <v>90</v>
      </c>
      <c r="M222" s="32" t="n">
        <v>45140</v>
      </c>
      <c r="N222" s="33" t="n">
        <f aca="false">H222*I222</f>
        <v>449.95</v>
      </c>
      <c r="O222" s="31" t="n">
        <f aca="true">DATEDIF(B222,TODAY(),"d")</f>
        <v>593</v>
      </c>
      <c r="P222" s="32" t="n">
        <f aca="false">EOMONTH(B222,0)</f>
        <v>45716</v>
      </c>
      <c r="Q222" s="31" t="n">
        <f aca="false">IF(K222=Filter!$B$2,COUNTIF(K$2:K222,Filter!$B$2),"")</f>
        <v>39</v>
      </c>
    </row>
    <row r="223" customFormat="false" ht="15" hidden="false" customHeight="false" outlineLevel="0" collapsed="false">
      <c r="A223" s="31" t="s">
        <v>431</v>
      </c>
      <c r="B223" s="32" t="n">
        <v>45712</v>
      </c>
      <c r="C223" s="31" t="s">
        <v>201</v>
      </c>
      <c r="D223" s="31" t="s">
        <v>202</v>
      </c>
      <c r="E223" s="31" t="s">
        <v>189</v>
      </c>
      <c r="F223" s="31" t="s">
        <v>190</v>
      </c>
      <c r="G223" s="31" t="s">
        <v>109</v>
      </c>
      <c r="H223" s="31" t="n">
        <v>2</v>
      </c>
      <c r="I223" s="33" t="n">
        <v>199.99</v>
      </c>
      <c r="J223" s="31" t="s">
        <v>83</v>
      </c>
      <c r="K223" s="31" t="s">
        <v>84</v>
      </c>
      <c r="L223" s="31" t="s">
        <v>90</v>
      </c>
      <c r="M223" s="32" t="n">
        <v>44573</v>
      </c>
      <c r="N223" s="33" t="n">
        <f aca="false">H223*I223</f>
        <v>399.98</v>
      </c>
      <c r="O223" s="31" t="n">
        <f aca="true">DATEDIF(B223,TODAY(),"d")</f>
        <v>592</v>
      </c>
      <c r="P223" s="32" t="n">
        <f aca="false">EOMONTH(B223,0)</f>
        <v>45716</v>
      </c>
      <c r="Q223" s="31" t="str">
        <f aca="false">IF(K223=Filter!$B$2,COUNTIF(K$2:K223,Filter!$B$2),"")</f>
        <v/>
      </c>
    </row>
    <row r="224" customFormat="false" ht="15" hidden="false" customHeight="false" outlineLevel="0" collapsed="false">
      <c r="A224" s="31" t="s">
        <v>432</v>
      </c>
      <c r="B224" s="32" t="n">
        <v>45715</v>
      </c>
      <c r="C224" s="31" t="s">
        <v>322</v>
      </c>
      <c r="D224" s="31" t="s">
        <v>323</v>
      </c>
      <c r="E224" s="31" t="s">
        <v>94</v>
      </c>
      <c r="F224" s="31" t="s">
        <v>95</v>
      </c>
      <c r="G224" s="31" t="s">
        <v>96</v>
      </c>
      <c r="H224" s="31" t="n">
        <v>4</v>
      </c>
      <c r="I224" s="33" t="n">
        <v>59.99</v>
      </c>
      <c r="J224" s="31" t="s">
        <v>83</v>
      </c>
      <c r="K224" s="31" t="s">
        <v>113</v>
      </c>
      <c r="L224" s="31" t="s">
        <v>99</v>
      </c>
      <c r="M224" s="32" t="n">
        <v>45070</v>
      </c>
      <c r="N224" s="33" t="n">
        <f aca="false">H224*I224</f>
        <v>239.96</v>
      </c>
      <c r="O224" s="31" t="n">
        <f aca="true">DATEDIF(B224,TODAY(),"d")</f>
        <v>589</v>
      </c>
      <c r="P224" s="32" t="n">
        <f aca="false">EOMONTH(B224,0)</f>
        <v>45716</v>
      </c>
      <c r="Q224" s="31" t="n">
        <f aca="false">IF(K224=Filter!$B$2,COUNTIF(K$2:K224,Filter!$B$2),"")</f>
        <v>40</v>
      </c>
    </row>
    <row r="225" customFormat="false" ht="15" hidden="false" customHeight="false" outlineLevel="0" collapsed="false">
      <c r="A225" s="31" t="s">
        <v>433</v>
      </c>
      <c r="B225" s="32" t="n">
        <v>45715</v>
      </c>
      <c r="C225" s="31" t="s">
        <v>156</v>
      </c>
      <c r="D225" s="31" t="s">
        <v>157</v>
      </c>
      <c r="E225" s="31" t="s">
        <v>168</v>
      </c>
      <c r="F225" s="31" t="s">
        <v>169</v>
      </c>
      <c r="G225" s="31" t="s">
        <v>109</v>
      </c>
      <c r="H225" s="31" t="n">
        <v>2</v>
      </c>
      <c r="I225" s="33" t="n">
        <v>299.99</v>
      </c>
      <c r="J225" s="31" t="s">
        <v>97</v>
      </c>
      <c r="K225" s="31" t="s">
        <v>98</v>
      </c>
      <c r="L225" s="31" t="s">
        <v>85</v>
      </c>
      <c r="M225" s="32" t="n">
        <v>44576</v>
      </c>
      <c r="N225" s="33" t="n">
        <f aca="false">H225*I225</f>
        <v>599.98</v>
      </c>
      <c r="O225" s="31" t="n">
        <f aca="true">DATEDIF(B225,TODAY(),"d")</f>
        <v>589</v>
      </c>
      <c r="P225" s="32" t="n">
        <f aca="false">EOMONTH(B225,0)</f>
        <v>45716</v>
      </c>
      <c r="Q225" s="31" t="str">
        <f aca="false">IF(K225=Filter!$B$2,COUNTIF(K$2:K225,Filter!$B$2),"")</f>
        <v/>
      </c>
    </row>
    <row r="226" customFormat="false" ht="15" hidden="false" customHeight="false" outlineLevel="0" collapsed="false">
      <c r="A226" s="31" t="s">
        <v>434</v>
      </c>
      <c r="B226" s="32" t="n">
        <v>45718</v>
      </c>
      <c r="C226" s="31" t="s">
        <v>118</v>
      </c>
      <c r="D226" s="31" t="s">
        <v>119</v>
      </c>
      <c r="E226" s="31" t="s">
        <v>107</v>
      </c>
      <c r="F226" s="31" t="s">
        <v>108</v>
      </c>
      <c r="G226" s="31" t="s">
        <v>109</v>
      </c>
      <c r="H226" s="31" t="n">
        <v>2</v>
      </c>
      <c r="I226" s="33" t="n">
        <v>149.99</v>
      </c>
      <c r="J226" s="31" t="s">
        <v>83</v>
      </c>
      <c r="K226" s="31" t="s">
        <v>84</v>
      </c>
      <c r="L226" s="31" t="s">
        <v>85</v>
      </c>
      <c r="M226" s="32" t="n">
        <v>45068</v>
      </c>
      <c r="N226" s="33" t="n">
        <f aca="false">H226*I226</f>
        <v>299.98</v>
      </c>
      <c r="O226" s="31" t="n">
        <f aca="true">DATEDIF(B226,TODAY(),"d")</f>
        <v>586</v>
      </c>
      <c r="P226" s="32" t="n">
        <f aca="false">EOMONTH(B226,0)</f>
        <v>45747</v>
      </c>
      <c r="Q226" s="31" t="str">
        <f aca="false">IF(K226=Filter!$B$2,COUNTIF(K$2:K226,Filter!$B$2),"")</f>
        <v/>
      </c>
    </row>
    <row r="227" customFormat="false" ht="15" hidden="false" customHeight="false" outlineLevel="0" collapsed="false">
      <c r="A227" s="31" t="s">
        <v>435</v>
      </c>
      <c r="B227" s="32" t="n">
        <v>45720</v>
      </c>
      <c r="C227" s="31" t="s">
        <v>289</v>
      </c>
      <c r="D227" s="31" t="s">
        <v>290</v>
      </c>
      <c r="E227" s="31" t="s">
        <v>143</v>
      </c>
      <c r="F227" s="31" t="s">
        <v>144</v>
      </c>
      <c r="G227" s="31" t="s">
        <v>82</v>
      </c>
      <c r="H227" s="31" t="n">
        <v>5</v>
      </c>
      <c r="I227" s="33" t="n">
        <v>699.99</v>
      </c>
      <c r="J227" s="31" t="s">
        <v>120</v>
      </c>
      <c r="K227" s="31" t="s">
        <v>126</v>
      </c>
      <c r="L227" s="31" t="s">
        <v>90</v>
      </c>
      <c r="M227" s="32" t="n">
        <v>45161</v>
      </c>
      <c r="N227" s="33" t="n">
        <f aca="false">H227*I227</f>
        <v>3499.95</v>
      </c>
      <c r="O227" s="31" t="n">
        <f aca="true">DATEDIF(B227,TODAY(),"d")</f>
        <v>584</v>
      </c>
      <c r="P227" s="32" t="n">
        <f aca="false">EOMONTH(B227,0)</f>
        <v>45747</v>
      </c>
      <c r="Q227" s="31" t="str">
        <f aca="false">IF(K227=Filter!$B$2,COUNTIF(K$2:K227,Filter!$B$2),"")</f>
        <v/>
      </c>
    </row>
    <row r="228" customFormat="false" ht="15" hidden="false" customHeight="false" outlineLevel="0" collapsed="false">
      <c r="A228" s="31" t="s">
        <v>436</v>
      </c>
      <c r="B228" s="32" t="n">
        <v>45721</v>
      </c>
      <c r="C228" s="31" t="s">
        <v>138</v>
      </c>
      <c r="D228" s="31" t="s">
        <v>139</v>
      </c>
      <c r="E228" s="31" t="s">
        <v>94</v>
      </c>
      <c r="F228" s="31" t="s">
        <v>95</v>
      </c>
      <c r="G228" s="31" t="s">
        <v>96</v>
      </c>
      <c r="H228" s="31" t="n">
        <v>5</v>
      </c>
      <c r="I228" s="33" t="n">
        <v>59.99</v>
      </c>
      <c r="J228" s="31" t="s">
        <v>83</v>
      </c>
      <c r="K228" s="31" t="s">
        <v>113</v>
      </c>
      <c r="L228" s="31" t="s">
        <v>90</v>
      </c>
      <c r="M228" s="32" t="n">
        <v>45291</v>
      </c>
      <c r="N228" s="33" t="n">
        <f aca="false">H228*I228</f>
        <v>299.95</v>
      </c>
      <c r="O228" s="31" t="n">
        <f aca="true">DATEDIF(B228,TODAY(),"d")</f>
        <v>583</v>
      </c>
      <c r="P228" s="32" t="n">
        <f aca="false">EOMONTH(B228,0)</f>
        <v>45747</v>
      </c>
      <c r="Q228" s="31" t="n">
        <f aca="false">IF(K228=Filter!$B$2,COUNTIF(K$2:K228,Filter!$B$2),"")</f>
        <v>41</v>
      </c>
    </row>
    <row r="229" customFormat="false" ht="15" hidden="false" customHeight="false" outlineLevel="0" collapsed="false">
      <c r="A229" s="31" t="s">
        <v>437</v>
      </c>
      <c r="B229" s="32" t="n">
        <v>45723</v>
      </c>
      <c r="C229" s="31" t="s">
        <v>78</v>
      </c>
      <c r="D229" s="31" t="s">
        <v>79</v>
      </c>
      <c r="E229" s="31" t="s">
        <v>180</v>
      </c>
      <c r="F229" s="31" t="s">
        <v>181</v>
      </c>
      <c r="G229" s="31" t="s">
        <v>82</v>
      </c>
      <c r="H229" s="31" t="n">
        <v>2</v>
      </c>
      <c r="I229" s="33" t="n">
        <v>89.99</v>
      </c>
      <c r="J229" s="31" t="s">
        <v>89</v>
      </c>
      <c r="K229" s="31" t="s">
        <v>113</v>
      </c>
      <c r="L229" s="31" t="s">
        <v>90</v>
      </c>
      <c r="M229" s="32" t="n">
        <v>45295</v>
      </c>
      <c r="N229" s="33" t="n">
        <f aca="false">H229*I229</f>
        <v>179.98</v>
      </c>
      <c r="O229" s="31" t="n">
        <f aca="true">DATEDIF(B229,TODAY(),"d")</f>
        <v>581</v>
      </c>
      <c r="P229" s="32" t="n">
        <f aca="false">EOMONTH(B229,0)</f>
        <v>45747</v>
      </c>
      <c r="Q229" s="31" t="n">
        <f aca="false">IF(K229=Filter!$B$2,COUNTIF(K$2:K229,Filter!$B$2),"")</f>
        <v>42</v>
      </c>
    </row>
    <row r="230" customFormat="false" ht="15" hidden="false" customHeight="false" outlineLevel="0" collapsed="false">
      <c r="A230" s="31" t="s">
        <v>438</v>
      </c>
      <c r="B230" s="32" t="n">
        <v>45723</v>
      </c>
      <c r="C230" s="31" t="s">
        <v>183</v>
      </c>
      <c r="D230" s="31" t="s">
        <v>184</v>
      </c>
      <c r="E230" s="31" t="s">
        <v>80</v>
      </c>
      <c r="F230" s="31" t="s">
        <v>81</v>
      </c>
      <c r="G230" s="31" t="s">
        <v>82</v>
      </c>
      <c r="H230" s="31" t="n">
        <v>5</v>
      </c>
      <c r="I230" s="33" t="n">
        <v>249.99</v>
      </c>
      <c r="J230" s="31" t="s">
        <v>83</v>
      </c>
      <c r="K230" s="31" t="s">
        <v>126</v>
      </c>
      <c r="L230" s="31" t="s">
        <v>99</v>
      </c>
      <c r="M230" s="32" t="n">
        <v>44540</v>
      </c>
      <c r="N230" s="33" t="n">
        <f aca="false">H230*I230</f>
        <v>1249.95</v>
      </c>
      <c r="O230" s="31" t="n">
        <f aca="true">DATEDIF(B230,TODAY(),"d")</f>
        <v>581</v>
      </c>
      <c r="P230" s="32" t="n">
        <f aca="false">EOMONTH(B230,0)</f>
        <v>45747</v>
      </c>
      <c r="Q230" s="31" t="str">
        <f aca="false">IF(K230=Filter!$B$2,COUNTIF(K$2:K230,Filter!$B$2),"")</f>
        <v/>
      </c>
    </row>
    <row r="231" customFormat="false" ht="15" hidden="false" customHeight="false" outlineLevel="0" collapsed="false">
      <c r="A231" s="31" t="s">
        <v>439</v>
      </c>
      <c r="B231" s="32" t="n">
        <v>45724</v>
      </c>
      <c r="C231" s="31" t="s">
        <v>289</v>
      </c>
      <c r="D231" s="31" t="s">
        <v>290</v>
      </c>
      <c r="E231" s="31" t="s">
        <v>107</v>
      </c>
      <c r="F231" s="31" t="s">
        <v>108</v>
      </c>
      <c r="G231" s="31" t="s">
        <v>109</v>
      </c>
      <c r="H231" s="31" t="n">
        <v>2</v>
      </c>
      <c r="I231" s="33" t="n">
        <v>149.99</v>
      </c>
      <c r="J231" s="31" t="s">
        <v>97</v>
      </c>
      <c r="K231" s="31" t="s">
        <v>84</v>
      </c>
      <c r="L231" s="31" t="s">
        <v>90</v>
      </c>
      <c r="M231" s="32" t="n">
        <v>44632</v>
      </c>
      <c r="N231" s="33" t="n">
        <f aca="false">H231*I231</f>
        <v>299.98</v>
      </c>
      <c r="O231" s="31" t="n">
        <f aca="true">DATEDIF(B231,TODAY(),"d")</f>
        <v>580</v>
      </c>
      <c r="P231" s="32" t="n">
        <f aca="false">EOMONTH(B231,0)</f>
        <v>45747</v>
      </c>
      <c r="Q231" s="31" t="str">
        <f aca="false">IF(K231=Filter!$B$2,COUNTIF(K$2:K231,Filter!$B$2),"")</f>
        <v/>
      </c>
    </row>
    <row r="232" customFormat="false" ht="15" hidden="false" customHeight="false" outlineLevel="0" collapsed="false">
      <c r="A232" s="31" t="s">
        <v>440</v>
      </c>
      <c r="B232" s="32" t="n">
        <v>45724</v>
      </c>
      <c r="C232" s="31" t="s">
        <v>207</v>
      </c>
      <c r="D232" s="31" t="s">
        <v>208</v>
      </c>
      <c r="E232" s="31" t="s">
        <v>124</v>
      </c>
      <c r="F232" s="31" t="s">
        <v>125</v>
      </c>
      <c r="G232" s="31" t="s">
        <v>82</v>
      </c>
      <c r="H232" s="31" t="n">
        <v>5</v>
      </c>
      <c r="I232" s="33" t="n">
        <v>899.99</v>
      </c>
      <c r="J232" s="31" t="s">
        <v>97</v>
      </c>
      <c r="K232" s="31" t="s">
        <v>126</v>
      </c>
      <c r="L232" s="31" t="s">
        <v>90</v>
      </c>
      <c r="M232" s="32" t="n">
        <v>45389</v>
      </c>
      <c r="N232" s="33" t="n">
        <f aca="false">H232*I232</f>
        <v>4499.95</v>
      </c>
      <c r="O232" s="31" t="n">
        <f aca="true">DATEDIF(B232,TODAY(),"d")</f>
        <v>580</v>
      </c>
      <c r="P232" s="32" t="n">
        <f aca="false">EOMONTH(B232,0)</f>
        <v>45747</v>
      </c>
      <c r="Q232" s="31" t="str">
        <f aca="false">IF(K232=Filter!$B$2,COUNTIF(K$2:K232,Filter!$B$2),"")</f>
        <v/>
      </c>
    </row>
    <row r="233" customFormat="false" ht="15" hidden="false" customHeight="false" outlineLevel="0" collapsed="false">
      <c r="A233" s="31" t="s">
        <v>441</v>
      </c>
      <c r="B233" s="32" t="n">
        <v>45724</v>
      </c>
      <c r="C233" s="31" t="s">
        <v>118</v>
      </c>
      <c r="D233" s="31" t="s">
        <v>119</v>
      </c>
      <c r="E233" s="31" t="s">
        <v>107</v>
      </c>
      <c r="F233" s="31" t="s">
        <v>108</v>
      </c>
      <c r="G233" s="31" t="s">
        <v>109</v>
      </c>
      <c r="H233" s="31" t="n">
        <v>4</v>
      </c>
      <c r="I233" s="33" t="n">
        <v>149.99</v>
      </c>
      <c r="J233" s="31" t="s">
        <v>83</v>
      </c>
      <c r="K233" s="31" t="s">
        <v>84</v>
      </c>
      <c r="L233" s="31" t="s">
        <v>99</v>
      </c>
      <c r="M233" s="32" t="n">
        <v>45263</v>
      </c>
      <c r="N233" s="33" t="n">
        <f aca="false">H233*I233</f>
        <v>599.96</v>
      </c>
      <c r="O233" s="31" t="n">
        <f aca="true">DATEDIF(B233,TODAY(),"d")</f>
        <v>580</v>
      </c>
      <c r="P233" s="32" t="n">
        <f aca="false">EOMONTH(B233,0)</f>
        <v>45747</v>
      </c>
      <c r="Q233" s="31" t="str">
        <f aca="false">IF(K233=Filter!$B$2,COUNTIF(K$2:K233,Filter!$B$2),"")</f>
        <v/>
      </c>
    </row>
    <row r="234" customFormat="false" ht="15" hidden="false" customHeight="false" outlineLevel="0" collapsed="false">
      <c r="A234" s="31" t="s">
        <v>442</v>
      </c>
      <c r="B234" s="32" t="n">
        <v>45726</v>
      </c>
      <c r="C234" s="31" t="s">
        <v>207</v>
      </c>
      <c r="D234" s="31" t="s">
        <v>208</v>
      </c>
      <c r="E234" s="31" t="s">
        <v>80</v>
      </c>
      <c r="F234" s="31" t="s">
        <v>81</v>
      </c>
      <c r="G234" s="31" t="s">
        <v>82</v>
      </c>
      <c r="H234" s="31" t="n">
        <v>1</v>
      </c>
      <c r="I234" s="33" t="n">
        <v>249.99</v>
      </c>
      <c r="J234" s="31" t="s">
        <v>83</v>
      </c>
      <c r="K234" s="31" t="s">
        <v>103</v>
      </c>
      <c r="L234" s="31" t="s">
        <v>99</v>
      </c>
      <c r="M234" s="32" t="n">
        <v>45117</v>
      </c>
      <c r="N234" s="33" t="n">
        <f aca="false">H234*I234</f>
        <v>249.99</v>
      </c>
      <c r="O234" s="31" t="n">
        <f aca="true">DATEDIF(B234,TODAY(),"d")</f>
        <v>578</v>
      </c>
      <c r="P234" s="32" t="n">
        <f aca="false">EOMONTH(B234,0)</f>
        <v>45747</v>
      </c>
      <c r="Q234" s="31" t="str">
        <f aca="false">IF(K234=Filter!$B$2,COUNTIF(K$2:K234,Filter!$B$2),"")</f>
        <v/>
      </c>
    </row>
    <row r="235" customFormat="false" ht="15" hidden="false" customHeight="false" outlineLevel="0" collapsed="false">
      <c r="A235" s="31" t="s">
        <v>443</v>
      </c>
      <c r="B235" s="32" t="n">
        <v>45734</v>
      </c>
      <c r="C235" s="31" t="s">
        <v>255</v>
      </c>
      <c r="D235" s="31" t="s">
        <v>256</v>
      </c>
      <c r="E235" s="31" t="s">
        <v>94</v>
      </c>
      <c r="F235" s="31" t="s">
        <v>95</v>
      </c>
      <c r="G235" s="31" t="s">
        <v>96</v>
      </c>
      <c r="H235" s="31" t="n">
        <v>2</v>
      </c>
      <c r="I235" s="33" t="n">
        <v>59.99</v>
      </c>
      <c r="J235" s="31" t="s">
        <v>89</v>
      </c>
      <c r="K235" s="31" t="s">
        <v>113</v>
      </c>
      <c r="L235" s="31" t="s">
        <v>85</v>
      </c>
      <c r="M235" s="32" t="n">
        <v>45193</v>
      </c>
      <c r="N235" s="33" t="n">
        <f aca="false">H235*I235</f>
        <v>119.98</v>
      </c>
      <c r="O235" s="31" t="n">
        <f aca="true">DATEDIF(B235,TODAY(),"d")</f>
        <v>570</v>
      </c>
      <c r="P235" s="32" t="n">
        <f aca="false">EOMONTH(B235,0)</f>
        <v>45747</v>
      </c>
      <c r="Q235" s="31" t="n">
        <f aca="false">IF(K235=Filter!$B$2,COUNTIF(K$2:K235,Filter!$B$2),"")</f>
        <v>43</v>
      </c>
    </row>
    <row r="236" customFormat="false" ht="15" hidden="false" customHeight="false" outlineLevel="0" collapsed="false">
      <c r="A236" s="31" t="s">
        <v>444</v>
      </c>
      <c r="B236" s="32" t="n">
        <v>45737</v>
      </c>
      <c r="C236" s="31" t="s">
        <v>195</v>
      </c>
      <c r="D236" s="31" t="s">
        <v>196</v>
      </c>
      <c r="E236" s="31" t="s">
        <v>107</v>
      </c>
      <c r="F236" s="31" t="s">
        <v>108</v>
      </c>
      <c r="G236" s="31" t="s">
        <v>109</v>
      </c>
      <c r="H236" s="31" t="n">
        <v>2</v>
      </c>
      <c r="I236" s="33" t="n">
        <v>149.99</v>
      </c>
      <c r="J236" s="31" t="s">
        <v>83</v>
      </c>
      <c r="K236" s="31" t="s">
        <v>113</v>
      </c>
      <c r="L236" s="31" t="s">
        <v>90</v>
      </c>
      <c r="M236" s="32" t="n">
        <v>45233</v>
      </c>
      <c r="N236" s="33" t="n">
        <f aca="false">H236*I236</f>
        <v>299.98</v>
      </c>
      <c r="O236" s="31" t="n">
        <f aca="true">DATEDIF(B236,TODAY(),"d")</f>
        <v>567</v>
      </c>
      <c r="P236" s="32" t="n">
        <f aca="false">EOMONTH(B236,0)</f>
        <v>45747</v>
      </c>
      <c r="Q236" s="31" t="n">
        <f aca="false">IF(K236=Filter!$B$2,COUNTIF(K$2:K236,Filter!$B$2),"")</f>
        <v>44</v>
      </c>
    </row>
    <row r="237" customFormat="false" ht="15" hidden="false" customHeight="false" outlineLevel="0" collapsed="false">
      <c r="A237" s="31" t="s">
        <v>445</v>
      </c>
      <c r="B237" s="32" t="n">
        <v>45737</v>
      </c>
      <c r="C237" s="31" t="s">
        <v>213</v>
      </c>
      <c r="D237" s="31" t="s">
        <v>214</v>
      </c>
      <c r="E237" s="31" t="s">
        <v>124</v>
      </c>
      <c r="F237" s="31" t="s">
        <v>125</v>
      </c>
      <c r="G237" s="31" t="s">
        <v>82</v>
      </c>
      <c r="H237" s="31" t="n">
        <v>3</v>
      </c>
      <c r="I237" s="33" t="n">
        <v>899.99</v>
      </c>
      <c r="J237" s="31" t="s">
        <v>120</v>
      </c>
      <c r="K237" s="31" t="s">
        <v>103</v>
      </c>
      <c r="L237" s="31" t="s">
        <v>90</v>
      </c>
      <c r="M237" s="32" t="n">
        <v>44876</v>
      </c>
      <c r="N237" s="33" t="n">
        <f aca="false">H237*I237</f>
        <v>2699.97</v>
      </c>
      <c r="O237" s="31" t="n">
        <f aca="true">DATEDIF(B237,TODAY(),"d")</f>
        <v>567</v>
      </c>
      <c r="P237" s="32" t="n">
        <f aca="false">EOMONTH(B237,0)</f>
        <v>45747</v>
      </c>
      <c r="Q237" s="31" t="str">
        <f aca="false">IF(K237=Filter!$B$2,COUNTIF(K$2:K237,Filter!$B$2),"")</f>
        <v/>
      </c>
    </row>
    <row r="238" customFormat="false" ht="15" hidden="false" customHeight="false" outlineLevel="0" collapsed="false">
      <c r="A238" s="31" t="s">
        <v>446</v>
      </c>
      <c r="B238" s="32" t="n">
        <v>45737</v>
      </c>
      <c r="C238" s="31" t="s">
        <v>111</v>
      </c>
      <c r="D238" s="31" t="s">
        <v>112</v>
      </c>
      <c r="E238" s="31" t="s">
        <v>124</v>
      </c>
      <c r="F238" s="31" t="s">
        <v>125</v>
      </c>
      <c r="G238" s="31" t="s">
        <v>82</v>
      </c>
      <c r="H238" s="31" t="n">
        <v>3</v>
      </c>
      <c r="I238" s="33" t="n">
        <v>899.99</v>
      </c>
      <c r="J238" s="31" t="s">
        <v>97</v>
      </c>
      <c r="K238" s="31" t="s">
        <v>103</v>
      </c>
      <c r="L238" s="31" t="s">
        <v>85</v>
      </c>
      <c r="M238" s="32" t="n">
        <v>44975</v>
      </c>
      <c r="N238" s="33" t="n">
        <f aca="false">H238*I238</f>
        <v>2699.97</v>
      </c>
      <c r="O238" s="31" t="n">
        <f aca="true">DATEDIF(B238,TODAY(),"d")</f>
        <v>567</v>
      </c>
      <c r="P238" s="32" t="n">
        <f aca="false">EOMONTH(B238,0)</f>
        <v>45747</v>
      </c>
      <c r="Q238" s="31" t="str">
        <f aca="false">IF(K238=Filter!$B$2,COUNTIF(K$2:K238,Filter!$B$2),"")</f>
        <v/>
      </c>
    </row>
    <row r="239" customFormat="false" ht="15" hidden="false" customHeight="false" outlineLevel="0" collapsed="false">
      <c r="A239" s="31" t="s">
        <v>447</v>
      </c>
      <c r="B239" s="32" t="n">
        <v>45739</v>
      </c>
      <c r="C239" s="31" t="s">
        <v>78</v>
      </c>
      <c r="D239" s="31" t="s">
        <v>79</v>
      </c>
      <c r="E239" s="31" t="s">
        <v>168</v>
      </c>
      <c r="F239" s="31" t="s">
        <v>169</v>
      </c>
      <c r="G239" s="31" t="s">
        <v>109</v>
      </c>
      <c r="H239" s="31" t="n">
        <v>3</v>
      </c>
      <c r="I239" s="33" t="n">
        <v>299.99</v>
      </c>
      <c r="J239" s="31" t="s">
        <v>89</v>
      </c>
      <c r="K239" s="31" t="s">
        <v>113</v>
      </c>
      <c r="L239" s="31" t="s">
        <v>90</v>
      </c>
      <c r="M239" s="32" t="n">
        <v>45234</v>
      </c>
      <c r="N239" s="33" t="n">
        <f aca="false">H239*I239</f>
        <v>899.97</v>
      </c>
      <c r="O239" s="31" t="n">
        <f aca="true">DATEDIF(B239,TODAY(),"d")</f>
        <v>565</v>
      </c>
      <c r="P239" s="32" t="n">
        <f aca="false">EOMONTH(B239,0)</f>
        <v>45747</v>
      </c>
      <c r="Q239" s="31" t="n">
        <f aca="false">IF(K239=Filter!$B$2,COUNTIF(K$2:K239,Filter!$B$2),"")</f>
        <v>45</v>
      </c>
    </row>
    <row r="240" customFormat="false" ht="15" hidden="false" customHeight="false" outlineLevel="0" collapsed="false">
      <c r="A240" s="31" t="s">
        <v>448</v>
      </c>
      <c r="B240" s="32" t="n">
        <v>45740</v>
      </c>
      <c r="C240" s="31" t="s">
        <v>449</v>
      </c>
      <c r="D240" s="31" t="s">
        <v>450</v>
      </c>
      <c r="E240" s="31" t="s">
        <v>107</v>
      </c>
      <c r="F240" s="31" t="s">
        <v>108</v>
      </c>
      <c r="G240" s="31" t="s">
        <v>109</v>
      </c>
      <c r="H240" s="31" t="n">
        <v>4</v>
      </c>
      <c r="I240" s="33" t="n">
        <v>149.99</v>
      </c>
      <c r="J240" s="31" t="s">
        <v>97</v>
      </c>
      <c r="K240" s="31" t="s">
        <v>113</v>
      </c>
      <c r="L240" s="31" t="s">
        <v>99</v>
      </c>
      <c r="M240" s="32" t="n">
        <v>44560</v>
      </c>
      <c r="N240" s="33" t="n">
        <f aca="false">H240*I240</f>
        <v>599.96</v>
      </c>
      <c r="O240" s="31" t="n">
        <f aca="true">DATEDIF(B240,TODAY(),"d")</f>
        <v>564</v>
      </c>
      <c r="P240" s="32" t="n">
        <f aca="false">EOMONTH(B240,0)</f>
        <v>45747</v>
      </c>
      <c r="Q240" s="31" t="n">
        <f aca="false">IF(K240=Filter!$B$2,COUNTIF(K$2:K240,Filter!$B$2),"")</f>
        <v>46</v>
      </c>
    </row>
    <row r="241" customFormat="false" ht="15" hidden="false" customHeight="false" outlineLevel="0" collapsed="false">
      <c r="A241" s="31" t="s">
        <v>451</v>
      </c>
      <c r="B241" s="32" t="n">
        <v>45743</v>
      </c>
      <c r="C241" s="31" t="s">
        <v>165</v>
      </c>
      <c r="D241" s="31" t="s">
        <v>166</v>
      </c>
      <c r="E241" s="31" t="s">
        <v>177</v>
      </c>
      <c r="F241" s="31" t="s">
        <v>178</v>
      </c>
      <c r="G241" s="31" t="s">
        <v>96</v>
      </c>
      <c r="H241" s="31" t="n">
        <v>4</v>
      </c>
      <c r="I241" s="33" t="n">
        <v>79.99</v>
      </c>
      <c r="J241" s="31" t="s">
        <v>89</v>
      </c>
      <c r="K241" s="31" t="s">
        <v>84</v>
      </c>
      <c r="L241" s="31" t="s">
        <v>85</v>
      </c>
      <c r="M241" s="32" t="n">
        <v>45288</v>
      </c>
      <c r="N241" s="33" t="n">
        <f aca="false">H241*I241</f>
        <v>319.96</v>
      </c>
      <c r="O241" s="31" t="n">
        <f aca="true">DATEDIF(B241,TODAY(),"d")</f>
        <v>561</v>
      </c>
      <c r="P241" s="32" t="n">
        <f aca="false">EOMONTH(B241,0)</f>
        <v>45747</v>
      </c>
      <c r="Q241" s="31" t="str">
        <f aca="false">IF(K241=Filter!$B$2,COUNTIF(K$2:K241,Filter!$B$2),"")</f>
        <v/>
      </c>
    </row>
    <row r="242" customFormat="false" ht="15" hidden="false" customHeight="false" outlineLevel="0" collapsed="false">
      <c r="A242" s="31" t="s">
        <v>452</v>
      </c>
      <c r="B242" s="32" t="n">
        <v>45745</v>
      </c>
      <c r="C242" s="31" t="s">
        <v>248</v>
      </c>
      <c r="D242" s="31" t="s">
        <v>249</v>
      </c>
      <c r="E242" s="31" t="s">
        <v>180</v>
      </c>
      <c r="F242" s="31" t="s">
        <v>181</v>
      </c>
      <c r="G242" s="31" t="s">
        <v>82</v>
      </c>
      <c r="H242" s="31" t="n">
        <v>5</v>
      </c>
      <c r="I242" s="33" t="n">
        <v>89.99</v>
      </c>
      <c r="J242" s="31" t="s">
        <v>97</v>
      </c>
      <c r="K242" s="31" t="s">
        <v>98</v>
      </c>
      <c r="L242" s="31" t="s">
        <v>85</v>
      </c>
      <c r="M242" s="32" t="n">
        <v>44704</v>
      </c>
      <c r="N242" s="33" t="n">
        <f aca="false">H242*I242</f>
        <v>449.95</v>
      </c>
      <c r="O242" s="31" t="n">
        <f aca="true">DATEDIF(B242,TODAY(),"d")</f>
        <v>559</v>
      </c>
      <c r="P242" s="32" t="n">
        <f aca="false">EOMONTH(B242,0)</f>
        <v>45747</v>
      </c>
      <c r="Q242" s="31" t="str">
        <f aca="false">IF(K242=Filter!$B$2,COUNTIF(K$2:K242,Filter!$B$2),"")</f>
        <v/>
      </c>
    </row>
    <row r="243" customFormat="false" ht="15" hidden="false" customHeight="false" outlineLevel="0" collapsed="false">
      <c r="A243" s="31" t="s">
        <v>453</v>
      </c>
      <c r="B243" s="32" t="n">
        <v>45746</v>
      </c>
      <c r="C243" s="31" t="s">
        <v>156</v>
      </c>
      <c r="D243" s="31" t="s">
        <v>157</v>
      </c>
      <c r="E243" s="31" t="s">
        <v>107</v>
      </c>
      <c r="F243" s="31" t="s">
        <v>108</v>
      </c>
      <c r="G243" s="31" t="s">
        <v>109</v>
      </c>
      <c r="H243" s="31" t="n">
        <v>3</v>
      </c>
      <c r="I243" s="33" t="n">
        <v>149.99</v>
      </c>
      <c r="J243" s="31" t="s">
        <v>97</v>
      </c>
      <c r="K243" s="31" t="s">
        <v>84</v>
      </c>
      <c r="L243" s="31" t="s">
        <v>99</v>
      </c>
      <c r="M243" s="32" t="n">
        <v>45171</v>
      </c>
      <c r="N243" s="33" t="n">
        <f aca="false">H243*I243</f>
        <v>449.97</v>
      </c>
      <c r="O243" s="31" t="n">
        <f aca="true">DATEDIF(B243,TODAY(),"d")</f>
        <v>558</v>
      </c>
      <c r="P243" s="32" t="n">
        <f aca="false">EOMONTH(B243,0)</f>
        <v>45747</v>
      </c>
      <c r="Q243" s="31" t="str">
        <f aca="false">IF(K243=Filter!$B$2,COUNTIF(K$2:K243,Filter!$B$2),"")</f>
        <v/>
      </c>
    </row>
    <row r="244" customFormat="false" ht="15" hidden="false" customHeight="false" outlineLevel="0" collapsed="false">
      <c r="A244" s="31" t="s">
        <v>454</v>
      </c>
      <c r="B244" s="32" t="n">
        <v>45746</v>
      </c>
      <c r="C244" s="31" t="s">
        <v>128</v>
      </c>
      <c r="D244" s="31" t="s">
        <v>129</v>
      </c>
      <c r="E244" s="31" t="s">
        <v>180</v>
      </c>
      <c r="F244" s="31" t="s">
        <v>181</v>
      </c>
      <c r="G244" s="31" t="s">
        <v>82</v>
      </c>
      <c r="H244" s="31" t="n">
        <v>2</v>
      </c>
      <c r="I244" s="33" t="n">
        <v>89.99</v>
      </c>
      <c r="J244" s="31" t="s">
        <v>120</v>
      </c>
      <c r="K244" s="31" t="s">
        <v>113</v>
      </c>
      <c r="L244" s="31" t="s">
        <v>90</v>
      </c>
      <c r="M244" s="32" t="n">
        <v>44522</v>
      </c>
      <c r="N244" s="33" t="n">
        <f aca="false">H244*I244</f>
        <v>179.98</v>
      </c>
      <c r="O244" s="31" t="n">
        <f aca="true">DATEDIF(B244,TODAY(),"d")</f>
        <v>558</v>
      </c>
      <c r="P244" s="32" t="n">
        <f aca="false">EOMONTH(B244,0)</f>
        <v>45747</v>
      </c>
      <c r="Q244" s="31" t="n">
        <f aca="false">IF(K244=Filter!$B$2,COUNTIF(K$2:K244,Filter!$B$2),"")</f>
        <v>47</v>
      </c>
    </row>
    <row r="245" customFormat="false" ht="15" hidden="false" customHeight="false" outlineLevel="0" collapsed="false">
      <c r="A245" s="31" t="s">
        <v>455</v>
      </c>
      <c r="B245" s="32" t="n">
        <v>45748</v>
      </c>
      <c r="C245" s="31" t="s">
        <v>165</v>
      </c>
      <c r="D245" s="31" t="s">
        <v>166</v>
      </c>
      <c r="E245" s="31" t="s">
        <v>143</v>
      </c>
      <c r="F245" s="31" t="s">
        <v>144</v>
      </c>
      <c r="G245" s="31" t="s">
        <v>82</v>
      </c>
      <c r="H245" s="31" t="n">
        <v>2</v>
      </c>
      <c r="I245" s="33" t="n">
        <v>699.99</v>
      </c>
      <c r="J245" s="31" t="s">
        <v>97</v>
      </c>
      <c r="K245" s="31" t="s">
        <v>103</v>
      </c>
      <c r="L245" s="31" t="s">
        <v>99</v>
      </c>
      <c r="M245" s="32" t="n">
        <v>44618</v>
      </c>
      <c r="N245" s="33" t="n">
        <f aca="false">H245*I245</f>
        <v>1399.98</v>
      </c>
      <c r="O245" s="31" t="n">
        <f aca="true">DATEDIF(B245,TODAY(),"d")</f>
        <v>556</v>
      </c>
      <c r="P245" s="32" t="n">
        <f aca="false">EOMONTH(B245,0)</f>
        <v>45777</v>
      </c>
      <c r="Q245" s="31" t="str">
        <f aca="false">IF(K245=Filter!$B$2,COUNTIF(K$2:K245,Filter!$B$2),"")</f>
        <v/>
      </c>
    </row>
    <row r="246" customFormat="false" ht="15" hidden="false" customHeight="false" outlineLevel="0" collapsed="false">
      <c r="A246" s="31" t="s">
        <v>456</v>
      </c>
      <c r="B246" s="32" t="n">
        <v>45749</v>
      </c>
      <c r="C246" s="31" t="s">
        <v>186</v>
      </c>
      <c r="D246" s="31" t="s">
        <v>187</v>
      </c>
      <c r="E246" s="31" t="s">
        <v>124</v>
      </c>
      <c r="F246" s="31" t="s">
        <v>125</v>
      </c>
      <c r="G246" s="31" t="s">
        <v>82</v>
      </c>
      <c r="H246" s="31" t="n">
        <v>3</v>
      </c>
      <c r="I246" s="33" t="n">
        <v>899.99</v>
      </c>
      <c r="J246" s="31" t="s">
        <v>83</v>
      </c>
      <c r="K246" s="31" t="s">
        <v>84</v>
      </c>
      <c r="L246" s="31" t="s">
        <v>99</v>
      </c>
      <c r="M246" s="32" t="n">
        <v>44953</v>
      </c>
      <c r="N246" s="33" t="n">
        <f aca="false">H246*I246</f>
        <v>2699.97</v>
      </c>
      <c r="O246" s="31" t="n">
        <f aca="true">DATEDIF(B246,TODAY(),"d")</f>
        <v>555</v>
      </c>
      <c r="P246" s="32" t="n">
        <f aca="false">EOMONTH(B246,0)</f>
        <v>45777</v>
      </c>
      <c r="Q246" s="31" t="str">
        <f aca="false">IF(K246=Filter!$B$2,COUNTIF(K$2:K246,Filter!$B$2),"")</f>
        <v/>
      </c>
    </row>
    <row r="247" customFormat="false" ht="15" hidden="false" customHeight="false" outlineLevel="0" collapsed="false">
      <c r="A247" s="31" t="s">
        <v>457</v>
      </c>
      <c r="B247" s="32" t="n">
        <v>45755</v>
      </c>
      <c r="C247" s="31" t="s">
        <v>156</v>
      </c>
      <c r="D247" s="31" t="s">
        <v>157</v>
      </c>
      <c r="E247" s="31" t="s">
        <v>177</v>
      </c>
      <c r="F247" s="31" t="s">
        <v>178</v>
      </c>
      <c r="G247" s="31" t="s">
        <v>96</v>
      </c>
      <c r="H247" s="31" t="n">
        <v>3</v>
      </c>
      <c r="I247" s="33" t="n">
        <v>79.99</v>
      </c>
      <c r="J247" s="31" t="s">
        <v>89</v>
      </c>
      <c r="K247" s="31" t="s">
        <v>103</v>
      </c>
      <c r="L247" s="31" t="s">
        <v>85</v>
      </c>
      <c r="M247" s="32" t="n">
        <v>44511</v>
      </c>
      <c r="N247" s="33" t="n">
        <f aca="false">H247*I247</f>
        <v>239.97</v>
      </c>
      <c r="O247" s="31" t="n">
        <f aca="true">DATEDIF(B247,TODAY(),"d")</f>
        <v>549</v>
      </c>
      <c r="P247" s="32" t="n">
        <f aca="false">EOMONTH(B247,0)</f>
        <v>45777</v>
      </c>
      <c r="Q247" s="31" t="str">
        <f aca="false">IF(K247=Filter!$B$2,COUNTIF(K$2:K247,Filter!$B$2),"")</f>
        <v/>
      </c>
    </row>
    <row r="248" customFormat="false" ht="15" hidden="false" customHeight="false" outlineLevel="0" collapsed="false">
      <c r="A248" s="31" t="s">
        <v>458</v>
      </c>
      <c r="B248" s="32" t="n">
        <v>45756</v>
      </c>
      <c r="C248" s="31" t="s">
        <v>122</v>
      </c>
      <c r="D248" s="31" t="s">
        <v>123</v>
      </c>
      <c r="E248" s="31" t="s">
        <v>180</v>
      </c>
      <c r="F248" s="31" t="s">
        <v>181</v>
      </c>
      <c r="G248" s="31" t="s">
        <v>82</v>
      </c>
      <c r="H248" s="31" t="n">
        <v>1</v>
      </c>
      <c r="I248" s="33" t="n">
        <v>89.99</v>
      </c>
      <c r="J248" s="31" t="s">
        <v>120</v>
      </c>
      <c r="K248" s="31" t="s">
        <v>126</v>
      </c>
      <c r="L248" s="31" t="s">
        <v>85</v>
      </c>
      <c r="M248" s="32" t="n">
        <v>45346</v>
      </c>
      <c r="N248" s="33" t="n">
        <f aca="false">H248*I248</f>
        <v>89.99</v>
      </c>
      <c r="O248" s="31" t="n">
        <f aca="true">DATEDIF(B248,TODAY(),"d")</f>
        <v>548</v>
      </c>
      <c r="P248" s="32" t="n">
        <f aca="false">EOMONTH(B248,0)</f>
        <v>45777</v>
      </c>
      <c r="Q248" s="31" t="str">
        <f aca="false">IF(K248=Filter!$B$2,COUNTIF(K$2:K248,Filter!$B$2),"")</f>
        <v/>
      </c>
    </row>
    <row r="249" customFormat="false" ht="15" hidden="false" customHeight="false" outlineLevel="0" collapsed="false">
      <c r="A249" s="31" t="s">
        <v>459</v>
      </c>
      <c r="B249" s="32" t="n">
        <v>45758</v>
      </c>
      <c r="C249" s="31" t="s">
        <v>356</v>
      </c>
      <c r="D249" s="31" t="s">
        <v>357</v>
      </c>
      <c r="E249" s="31" t="s">
        <v>143</v>
      </c>
      <c r="F249" s="31" t="s">
        <v>144</v>
      </c>
      <c r="G249" s="31" t="s">
        <v>82</v>
      </c>
      <c r="H249" s="31" t="n">
        <v>3</v>
      </c>
      <c r="I249" s="33" t="n">
        <v>699.99</v>
      </c>
      <c r="J249" s="31" t="s">
        <v>97</v>
      </c>
      <c r="K249" s="31" t="s">
        <v>103</v>
      </c>
      <c r="L249" s="31" t="s">
        <v>85</v>
      </c>
      <c r="M249" s="32" t="n">
        <v>44909</v>
      </c>
      <c r="N249" s="33" t="n">
        <f aca="false">H249*I249</f>
        <v>2099.97</v>
      </c>
      <c r="O249" s="31" t="n">
        <f aca="true">DATEDIF(B249,TODAY(),"d")</f>
        <v>546</v>
      </c>
      <c r="P249" s="32" t="n">
        <f aca="false">EOMONTH(B249,0)</f>
        <v>45777</v>
      </c>
      <c r="Q249" s="31" t="str">
        <f aca="false">IF(K249=Filter!$B$2,COUNTIF(K$2:K249,Filter!$B$2),"")</f>
        <v/>
      </c>
    </row>
    <row r="250" customFormat="false" ht="15" hidden="false" customHeight="false" outlineLevel="0" collapsed="false">
      <c r="A250" s="31" t="s">
        <v>460</v>
      </c>
      <c r="B250" s="32" t="n">
        <v>45758</v>
      </c>
      <c r="C250" s="31" t="s">
        <v>289</v>
      </c>
      <c r="D250" s="31" t="s">
        <v>290</v>
      </c>
      <c r="E250" s="31" t="s">
        <v>180</v>
      </c>
      <c r="F250" s="31" t="s">
        <v>181</v>
      </c>
      <c r="G250" s="31" t="s">
        <v>82</v>
      </c>
      <c r="H250" s="31" t="n">
        <v>2</v>
      </c>
      <c r="I250" s="33" t="n">
        <v>89.99</v>
      </c>
      <c r="J250" s="31" t="s">
        <v>120</v>
      </c>
      <c r="K250" s="31" t="s">
        <v>126</v>
      </c>
      <c r="L250" s="31" t="s">
        <v>85</v>
      </c>
      <c r="M250" s="32" t="n">
        <v>45088</v>
      </c>
      <c r="N250" s="33" t="n">
        <f aca="false">H250*I250</f>
        <v>179.98</v>
      </c>
      <c r="O250" s="31" t="n">
        <f aca="true">DATEDIF(B250,TODAY(),"d")</f>
        <v>546</v>
      </c>
      <c r="P250" s="32" t="n">
        <f aca="false">EOMONTH(B250,0)</f>
        <v>45777</v>
      </c>
      <c r="Q250" s="31" t="str">
        <f aca="false">IF(K250=Filter!$B$2,COUNTIF(K$2:K250,Filter!$B$2),"")</f>
        <v/>
      </c>
    </row>
    <row r="251" customFormat="false" ht="15" hidden="false" customHeight="false" outlineLevel="0" collapsed="false">
      <c r="A251" s="31" t="s">
        <v>461</v>
      </c>
      <c r="B251" s="32" t="n">
        <v>45758</v>
      </c>
      <c r="C251" s="31" t="s">
        <v>201</v>
      </c>
      <c r="D251" s="31" t="s">
        <v>202</v>
      </c>
      <c r="E251" s="31" t="s">
        <v>180</v>
      </c>
      <c r="F251" s="31" t="s">
        <v>181</v>
      </c>
      <c r="G251" s="31" t="s">
        <v>82</v>
      </c>
      <c r="H251" s="31" t="n">
        <v>3</v>
      </c>
      <c r="I251" s="33" t="n">
        <v>89.99</v>
      </c>
      <c r="J251" s="31" t="s">
        <v>120</v>
      </c>
      <c r="K251" s="31" t="s">
        <v>103</v>
      </c>
      <c r="L251" s="31" t="s">
        <v>90</v>
      </c>
      <c r="M251" s="32" t="n">
        <v>44878</v>
      </c>
      <c r="N251" s="33" t="n">
        <f aca="false">H251*I251</f>
        <v>269.97</v>
      </c>
      <c r="O251" s="31" t="n">
        <f aca="true">DATEDIF(B251,TODAY(),"d")</f>
        <v>546</v>
      </c>
      <c r="P251" s="32" t="n">
        <f aca="false">EOMONTH(B251,0)</f>
        <v>45777</v>
      </c>
      <c r="Q251" s="31" t="str">
        <f aca="false">IF(K251=Filter!$B$2,COUNTIF(K$2:K251,Filter!$B$2),"")</f>
        <v/>
      </c>
    </row>
  </sheetData>
  <autoFilter ref="A1:Q2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10" min="9" style="0" width="3"/>
    <col collapsed="false" customWidth="true" hidden="false" outlineLevel="0" max="11" min="11" style="0" width="22"/>
    <col collapsed="false" customWidth="true" hidden="false" outlineLevel="0" max="12" min="12" style="0" width="26"/>
  </cols>
  <sheetData>
    <row r="1" customFormat="false" ht="17.35" hidden="false" customHeight="false" outlineLevel="0" collapsed="false">
      <c r="A1" s="34" t="s">
        <v>462</v>
      </c>
    </row>
    <row r="3" customFormat="false" ht="15" hidden="false" customHeight="false" outlineLevel="0" collapsed="false">
      <c r="A3" s="35" t="s">
        <v>463</v>
      </c>
    </row>
    <row r="4" customFormat="false" ht="15" hidden="false" customHeight="false" outlineLevel="0" collapsed="false">
      <c r="A4" s="31" t="s">
        <v>464</v>
      </c>
      <c r="B4" s="36" t="n">
        <f aca="true">TODAY()</f>
        <v>46304</v>
      </c>
    </row>
    <row r="5" customFormat="false" ht="15" hidden="false" customHeight="false" outlineLevel="0" collapsed="false">
      <c r="A5" s="31" t="s">
        <v>465</v>
      </c>
      <c r="B5" s="37" t="n">
        <f aca="true">NOW()</f>
        <v>46304.4571133324</v>
      </c>
    </row>
    <row r="6" customFormat="false" ht="15" hidden="false" customHeight="false" outlineLevel="0" collapsed="false">
      <c r="A6" s="31" t="s">
        <v>466</v>
      </c>
      <c r="B6" s="36" t="n">
        <f aca="false">MIN('Raw Data'!$B$2:$B$251)</f>
        <v>45393</v>
      </c>
    </row>
    <row r="7" customFormat="false" ht="15" hidden="false" customHeight="false" outlineLevel="0" collapsed="false">
      <c r="A7" s="31" t="s">
        <v>467</v>
      </c>
      <c r="B7" s="36" t="n">
        <f aca="false">MAX('Raw Data'!$B$2:$B$251)</f>
        <v>45758</v>
      </c>
    </row>
    <row r="8" customFormat="false" ht="15" hidden="false" customHeight="false" outlineLevel="0" collapsed="false">
      <c r="A8" s="31" t="s">
        <v>468</v>
      </c>
      <c r="B8" s="38" t="n">
        <f aca="false">B4-B7</f>
        <v>546</v>
      </c>
    </row>
    <row r="9" customFormat="false" ht="15" hidden="false" customHeight="false" outlineLevel="0" collapsed="false">
      <c r="A9" s="31" t="s">
        <v>469</v>
      </c>
      <c r="B9" s="38" t="n">
        <f aca="false">DATEDIF(B6,B7,"m")</f>
        <v>12</v>
      </c>
    </row>
    <row r="10" customFormat="false" ht="15" hidden="false" customHeight="false" outlineLevel="0" collapsed="false">
      <c r="A10" s="31" t="s">
        <v>470</v>
      </c>
      <c r="B10" s="36" t="n">
        <f aca="false">EOMONTH(B7,0)</f>
        <v>45777</v>
      </c>
    </row>
    <row r="11" customFormat="false" ht="15" hidden="false" customHeight="false" outlineLevel="0" collapsed="false">
      <c r="A11" s="35" t="s">
        <v>471</v>
      </c>
    </row>
    <row r="12" customFormat="false" ht="15" hidden="false" customHeight="false" outlineLevel="0" collapsed="false">
      <c r="A12" s="39" t="s">
        <v>472</v>
      </c>
      <c r="B12" s="40" t="n">
        <f aca="false">PERCENTILE(D14:D63,0.75)</f>
        <v>6304.8075</v>
      </c>
    </row>
    <row r="13" customFormat="false" ht="15" hidden="false" customHeight="false" outlineLevel="0" collapsed="false">
      <c r="A13" s="30" t="s">
        <v>473</v>
      </c>
      <c r="B13" s="30" t="s">
        <v>474</v>
      </c>
      <c r="C13" s="30" t="s">
        <v>475</v>
      </c>
      <c r="D13" s="30" t="s">
        <v>476</v>
      </c>
      <c r="E13" s="30" t="s">
        <v>477</v>
      </c>
      <c r="F13" s="30" t="s">
        <v>478</v>
      </c>
      <c r="G13" s="30" t="s">
        <v>479</v>
      </c>
      <c r="H13" s="30" t="s">
        <v>480</v>
      </c>
      <c r="K13" s="30" t="s">
        <v>481</v>
      </c>
      <c r="L13" s="30" t="s">
        <v>482</v>
      </c>
    </row>
    <row r="14" customFormat="false" ht="15" hidden="false" customHeight="false" outlineLevel="0" collapsed="false">
      <c r="A14" s="31" t="s">
        <v>150</v>
      </c>
      <c r="B14" s="31" t="str">
        <f aca="false">UPPER(LEFT(A14,1)&amp;MID(A14,FIND(" ",A14)+1,1))&amp;"-"&amp;TEXT(F14,"00")</f>
        <v>MC-01</v>
      </c>
      <c r="C14" s="31" t="n">
        <f aca="false">COUNTIFS('Raw Data'!$D$2:$D$251,A14)</f>
        <v>12</v>
      </c>
      <c r="D14" s="40" t="n">
        <f aca="false">SUMIFS('Raw Data'!$N$2:$N$251,'Raw Data'!$D$2:$D$251,A14)</f>
        <v>15659.65</v>
      </c>
      <c r="E14" s="40" t="n">
        <f aca="false">IFERROR(D14/C14,0)</f>
        <v>1304.97083333333</v>
      </c>
      <c r="F14" s="31" t="n">
        <f aca="false">RANK(D14,$D$14:$D$63)</f>
        <v>1</v>
      </c>
      <c r="G14" s="31" t="str">
        <f aca="false">IF(D14&gt;=$B$12,"High-Value","Regular")</f>
        <v>High-Value</v>
      </c>
      <c r="H14" s="31" t="str">
        <f aca="false">IF(COUNTIF($K$14:$K$23,A14)&gt;0,"Yes","No")</f>
        <v>Yes</v>
      </c>
      <c r="K14" s="41" t="s">
        <v>150</v>
      </c>
      <c r="L14" s="31" t="str">
        <f aca="false">IF(ISNUMBER(MATCH(K14,$A$14:$A$63,0)),K14,"")</f>
        <v>Mark Carter</v>
      </c>
    </row>
    <row r="15" customFormat="false" ht="15" hidden="false" customHeight="false" outlineLevel="0" collapsed="false">
      <c r="A15" s="31" t="s">
        <v>187</v>
      </c>
      <c r="B15" s="31" t="str">
        <f aca="false">UPPER(LEFT(A15,1)&amp;MID(A15,FIND(" ",A15)+1,1))&amp;"-"&amp;TEXT(F15,"00")</f>
        <v>EM-02</v>
      </c>
      <c r="C15" s="31" t="n">
        <f aca="false">COUNTIFS('Raw Data'!$D$2:$D$251,A15)</f>
        <v>6</v>
      </c>
      <c r="D15" s="40" t="n">
        <f aca="false">SUMIFS('Raw Data'!$N$2:$N$251,'Raw Data'!$D$2:$D$251,A15)</f>
        <v>11919.77</v>
      </c>
      <c r="E15" s="40" t="n">
        <f aca="false">IFERROR(D15/C15,0)</f>
        <v>1986.62833333333</v>
      </c>
      <c r="F15" s="31" t="n">
        <f aca="false">RANK(D15,$D$14:$D$63)</f>
        <v>2</v>
      </c>
      <c r="G15" s="31" t="str">
        <f aca="false">IF(D15&gt;=$B$12,"High-Value","Regular")</f>
        <v>High-Value</v>
      </c>
      <c r="H15" s="31" t="str">
        <f aca="false">IF(COUNTIF($K$14:$K$23,A15)&gt;0,"Yes","No")</f>
        <v>No</v>
      </c>
      <c r="K15" s="41" t="s">
        <v>160</v>
      </c>
      <c r="L15" s="31" t="str">
        <f aca="false">IF(ISNUMBER(MATCH(K15,$A$14:$A$63,0)),K15,"")</f>
        <v>Barbara Young</v>
      </c>
    </row>
    <row r="16" customFormat="false" ht="15" hidden="false" customHeight="false" outlineLevel="0" collapsed="false">
      <c r="A16" s="31" t="s">
        <v>160</v>
      </c>
      <c r="B16" s="31" t="str">
        <f aca="false">UPPER(LEFT(A16,1)&amp;MID(A16,FIND(" ",A16)+1,1))&amp;"-"&amp;TEXT(F16,"00")</f>
        <v>BY-03</v>
      </c>
      <c r="C16" s="31" t="n">
        <f aca="false">COUNTIFS('Raw Data'!$D$2:$D$251,A16)</f>
        <v>5</v>
      </c>
      <c r="D16" s="40" t="n">
        <f aca="false">SUMIFS('Raw Data'!$N$2:$N$251,'Raw Data'!$D$2:$D$251,A16)</f>
        <v>10649.8</v>
      </c>
      <c r="E16" s="40" t="n">
        <f aca="false">IFERROR(D16/C16,0)</f>
        <v>2129.96</v>
      </c>
      <c r="F16" s="31" t="n">
        <f aca="false">RANK(D16,$D$14:$D$63)</f>
        <v>3</v>
      </c>
      <c r="G16" s="31" t="str">
        <f aca="false">IF(D16&gt;=$B$12,"High-Value","Regular")</f>
        <v>High-Value</v>
      </c>
      <c r="H16" s="31" t="str">
        <f aca="false">IF(COUNTIF($K$14:$K$23,A16)&gt;0,"Yes","No")</f>
        <v>Yes</v>
      </c>
      <c r="K16" s="41" t="s">
        <v>112</v>
      </c>
      <c r="L16" s="31" t="str">
        <f aca="false">IF(ISNUMBER(MATCH(K16,$A$14:$A$63,0)),K16,"")</f>
        <v>Dorothy Nelson</v>
      </c>
    </row>
    <row r="17" customFormat="false" ht="15" hidden="false" customHeight="false" outlineLevel="0" collapsed="false">
      <c r="A17" s="31" t="s">
        <v>163</v>
      </c>
      <c r="B17" s="31" t="str">
        <f aca="false">UPPER(LEFT(A17,1)&amp;MID(A17,FIND(" ",A17)+1,1))&amp;"-"&amp;TEXT(F17,"00")</f>
        <v>PM-04</v>
      </c>
      <c r="C17" s="31" t="n">
        <f aca="false">COUNTIFS('Raw Data'!$D$2:$D$251,A17)</f>
        <v>8</v>
      </c>
      <c r="D17" s="40" t="n">
        <f aca="false">SUMIFS('Raw Data'!$N$2:$N$251,'Raw Data'!$D$2:$D$251,A17)</f>
        <v>9799.73</v>
      </c>
      <c r="E17" s="40" t="n">
        <f aca="false">IFERROR(D17/C17,0)</f>
        <v>1224.96625</v>
      </c>
      <c r="F17" s="31" t="n">
        <f aca="false">RANK(D17,$D$14:$D$63)</f>
        <v>4</v>
      </c>
      <c r="G17" s="31" t="str">
        <f aca="false">IF(D17&gt;=$B$12,"High-Value","Regular")</f>
        <v>High-Value</v>
      </c>
      <c r="H17" s="31" t="str">
        <f aca="false">IF(COUNTIF($K$14:$K$23,A17)&gt;0,"Yes","No")</f>
        <v>No</v>
      </c>
      <c r="K17" s="41" t="s">
        <v>88</v>
      </c>
      <c r="L17" s="31" t="str">
        <f aca="false">IF(ISNUMBER(MATCH(K17,$A$14:$A$63,0)),K17,"")</f>
        <v>Joseph Jackson</v>
      </c>
    </row>
    <row r="18" customFormat="false" ht="15" hidden="false" customHeight="false" outlineLevel="0" collapsed="false">
      <c r="A18" s="31" t="s">
        <v>79</v>
      </c>
      <c r="B18" s="31" t="str">
        <f aca="false">UPPER(LEFT(A18,1)&amp;MID(A18,FIND(" ",A18)+1,1))&amp;"-"&amp;TEXT(F18,"00")</f>
        <v>PB-05</v>
      </c>
      <c r="C18" s="31" t="n">
        <f aca="false">COUNTIFS('Raw Data'!$D$2:$D$251,A18)</f>
        <v>8</v>
      </c>
      <c r="D18" s="40" t="n">
        <f aca="false">SUMIFS('Raw Data'!$N$2:$N$251,'Raw Data'!$D$2:$D$251,A18)</f>
        <v>8309.74</v>
      </c>
      <c r="E18" s="40" t="n">
        <f aca="false">IFERROR(D18/C18,0)</f>
        <v>1038.7175</v>
      </c>
      <c r="F18" s="31" t="n">
        <f aca="false">RANK(D18,$D$14:$D$63)</f>
        <v>5</v>
      </c>
      <c r="G18" s="31" t="str">
        <f aca="false">IF(D18&gt;=$B$12,"High-Value","Regular")</f>
        <v>High-Value</v>
      </c>
      <c r="H18" s="31" t="str">
        <f aca="false">IF(COUNTIF($K$14:$K$23,A18)&gt;0,"Yes","No")</f>
        <v>No</v>
      </c>
      <c r="K18" s="41" t="s">
        <v>136</v>
      </c>
      <c r="L18" s="31" t="str">
        <f aca="false">IF(ISNUMBER(MATCH(K18,$A$14:$A$63,0)),K18,"")</f>
        <v>Peter Richardson</v>
      </c>
    </row>
    <row r="19" customFormat="false" ht="15" hidden="false" customHeight="false" outlineLevel="0" collapsed="false">
      <c r="A19" s="31" t="s">
        <v>112</v>
      </c>
      <c r="B19" s="31" t="str">
        <f aca="false">UPPER(LEFT(A19,1)&amp;MID(A19,FIND(" ",A19)+1,1))&amp;"-"&amp;TEXT(F19,"00")</f>
        <v>DN-06</v>
      </c>
      <c r="C19" s="31" t="n">
        <f aca="false">COUNTIFS('Raw Data'!$D$2:$D$251,A19)</f>
        <v>6</v>
      </c>
      <c r="D19" s="40" t="n">
        <f aca="false">SUMIFS('Raw Data'!$N$2:$N$251,'Raw Data'!$D$2:$D$251,A19)</f>
        <v>8269.79</v>
      </c>
      <c r="E19" s="40" t="n">
        <f aca="false">IFERROR(D19/C19,0)</f>
        <v>1378.29833333333</v>
      </c>
      <c r="F19" s="31" t="n">
        <f aca="false">RANK(D19,$D$14:$D$63)</f>
        <v>6</v>
      </c>
      <c r="G19" s="31" t="str">
        <f aca="false">IF(D19&gt;=$B$12,"High-Value","Regular")</f>
        <v>High-Value</v>
      </c>
      <c r="H19" s="31" t="str">
        <f aca="false">IF(COUNTIF($K$14:$K$23,A19)&gt;0,"Yes","No")</f>
        <v>Yes</v>
      </c>
      <c r="K19" s="41" t="s">
        <v>357</v>
      </c>
      <c r="L19" s="31" t="str">
        <f aca="false">IF(ISNUMBER(MATCH(K19,$A$14:$A$63,0)),K19,"")</f>
        <v>Douglas Watson</v>
      </c>
    </row>
    <row r="20" customFormat="false" ht="15" hidden="false" customHeight="false" outlineLevel="0" collapsed="false">
      <c r="A20" s="31" t="s">
        <v>129</v>
      </c>
      <c r="B20" s="31" t="str">
        <f aca="false">UPPER(LEFT(A20,1)&amp;MID(A20,FIND(" ",A20)+1,1))&amp;"-"&amp;TEXT(F20,"00")</f>
        <v>KH-07</v>
      </c>
      <c r="C20" s="31" t="n">
        <f aca="false">COUNTIFS('Raw Data'!$D$2:$D$251,A20)</f>
        <v>8</v>
      </c>
      <c r="D20" s="40" t="n">
        <f aca="false">SUMIFS('Raw Data'!$N$2:$N$251,'Raw Data'!$D$2:$D$251,A20)</f>
        <v>8009.77</v>
      </c>
      <c r="E20" s="40" t="n">
        <f aca="false">IFERROR(D20/C20,0)</f>
        <v>1001.22125</v>
      </c>
      <c r="F20" s="31" t="n">
        <f aca="false">RANK(D20,$D$14:$D$63)</f>
        <v>7</v>
      </c>
      <c r="G20" s="31" t="str">
        <f aca="false">IF(D20&gt;=$B$12,"High-Value","Regular")</f>
        <v>High-Value</v>
      </c>
      <c r="H20" s="31" t="str">
        <f aca="false">IF(COUNTIF($K$14:$K$23,A20)&gt;0,"Yes","No")</f>
        <v>No</v>
      </c>
      <c r="K20" s="41" t="s">
        <v>275</v>
      </c>
      <c r="L20" s="31" t="str">
        <f aca="false">IF(ISNUMBER(MATCH(K20,$A$14:$A$63,0)),K20,"")</f>
        <v>Elizabeth Hall</v>
      </c>
    </row>
    <row r="21" customFormat="false" ht="15" hidden="false" customHeight="false" outlineLevel="0" collapsed="false">
      <c r="A21" s="31" t="s">
        <v>211</v>
      </c>
      <c r="B21" s="31" t="str">
        <f aca="false">UPPER(LEFT(A21,1)&amp;MID(A21,FIND(" ",A21)+1,1))&amp;"-"&amp;TEXT(F21,"00")</f>
        <v>DK-08</v>
      </c>
      <c r="C21" s="31" t="n">
        <f aca="false">COUNTIFS('Raw Data'!$D$2:$D$251,A21)</f>
        <v>7</v>
      </c>
      <c r="D21" s="40" t="n">
        <f aca="false">SUMIFS('Raw Data'!$N$2:$N$251,'Raw Data'!$D$2:$D$251,A21)</f>
        <v>7309.8</v>
      </c>
      <c r="E21" s="40" t="n">
        <f aca="false">IFERROR(D21/C21,0)</f>
        <v>1044.25714285714</v>
      </c>
      <c r="F21" s="31" t="n">
        <f aca="false">RANK(D21,$D$14:$D$63)</f>
        <v>8</v>
      </c>
      <c r="G21" s="31" t="str">
        <f aca="false">IF(D21&gt;=$B$12,"High-Value","Regular")</f>
        <v>High-Value</v>
      </c>
      <c r="H21" s="31" t="str">
        <f aca="false">IF(COUNTIF($K$14:$K$23,A21)&gt;0,"Yes","No")</f>
        <v>No</v>
      </c>
      <c r="K21" s="41" t="s">
        <v>483</v>
      </c>
      <c r="L21" s="31" t="str">
        <f aca="false">IF(ISNUMBER(MATCH(K21,$A$14:$A$63,0)),K21,"")</f>
        <v/>
      </c>
    </row>
    <row r="22" customFormat="false" ht="15" hidden="false" customHeight="false" outlineLevel="0" collapsed="false">
      <c r="A22" s="31" t="s">
        <v>290</v>
      </c>
      <c r="B22" s="31" t="str">
        <f aca="false">UPPER(LEFT(A22,1)&amp;MID(A22,FIND(" ",A22)+1,1))&amp;"-"&amp;TEXT(F22,"00")</f>
        <v>LR-09</v>
      </c>
      <c r="C22" s="31" t="n">
        <f aca="false">COUNTIFS('Raw Data'!$D$2:$D$251,A22)</f>
        <v>8</v>
      </c>
      <c r="D22" s="40" t="n">
        <f aca="false">SUMIFS('Raw Data'!$N$2:$N$251,'Raw Data'!$D$2:$D$251,A22)</f>
        <v>6989.77</v>
      </c>
      <c r="E22" s="40" t="n">
        <f aca="false">IFERROR(D22/C22,0)</f>
        <v>873.72125</v>
      </c>
      <c r="F22" s="31" t="n">
        <f aca="false">RANK(D22,$D$14:$D$63)</f>
        <v>9</v>
      </c>
      <c r="G22" s="31" t="str">
        <f aca="false">IF(D22&gt;=$B$12,"High-Value","Regular")</f>
        <v>High-Value</v>
      </c>
      <c r="H22" s="31" t="str">
        <f aca="false">IF(COUNTIF($K$14:$K$23,A22)&gt;0,"Yes","No")</f>
        <v>No</v>
      </c>
      <c r="K22" s="41" t="s">
        <v>484</v>
      </c>
      <c r="L22" s="31" t="str">
        <f aca="false">IF(ISNUMBER(MATCH(K22,$A$14:$A$63,0)),K22,"")</f>
        <v/>
      </c>
    </row>
    <row r="23" customFormat="false" ht="15" hidden="false" customHeight="false" outlineLevel="0" collapsed="false">
      <c r="A23" s="31" t="s">
        <v>88</v>
      </c>
      <c r="B23" s="31" t="str">
        <f aca="false">UPPER(LEFT(A23,1)&amp;MID(A23,FIND(" ",A23)+1,1))&amp;"-"&amp;TEXT(F23,"00")</f>
        <v>JJ-10</v>
      </c>
      <c r="C23" s="31" t="n">
        <f aca="false">COUNTIFS('Raw Data'!$D$2:$D$251,A23)</f>
        <v>5</v>
      </c>
      <c r="D23" s="40" t="n">
        <f aca="false">SUMIFS('Raw Data'!$N$2:$N$251,'Raw Data'!$D$2:$D$251,A23)</f>
        <v>6949.84</v>
      </c>
      <c r="E23" s="40" t="n">
        <f aca="false">IFERROR(D23/C23,0)</f>
        <v>1389.968</v>
      </c>
      <c r="F23" s="31" t="n">
        <f aca="false">RANK(D23,$D$14:$D$63)</f>
        <v>10</v>
      </c>
      <c r="G23" s="31" t="str">
        <f aca="false">IF(D23&gt;=$B$12,"High-Value","Regular")</f>
        <v>High-Value</v>
      </c>
      <c r="H23" s="31" t="str">
        <f aca="false">IF(COUNTIF($K$14:$K$23,A23)&gt;0,"Yes","No")</f>
        <v>Yes</v>
      </c>
      <c r="K23" s="41" t="s">
        <v>485</v>
      </c>
      <c r="L23" s="31" t="str">
        <f aca="false">IF(ISNUMBER(MATCH(K23,$A$14:$A$63,0)),K23,"")</f>
        <v/>
      </c>
    </row>
    <row r="24" customFormat="false" ht="15" hidden="false" customHeight="false" outlineLevel="0" collapsed="false">
      <c r="A24" s="31" t="s">
        <v>184</v>
      </c>
      <c r="B24" s="31" t="str">
        <f aca="false">UPPER(LEFT(A24,1)&amp;MID(A24,FIND(" ",A24)+1,1))&amp;"-"&amp;TEXT(F24,"00")</f>
        <v>HR-11</v>
      </c>
      <c r="C24" s="31" t="n">
        <f aca="false">COUNTIFS('Raw Data'!$D$2:$D$251,A24)</f>
        <v>7</v>
      </c>
      <c r="D24" s="40" t="n">
        <f aca="false">SUMIFS('Raw Data'!$N$2:$N$251,'Raw Data'!$D$2:$D$251,A24)</f>
        <v>6459.79</v>
      </c>
      <c r="E24" s="40" t="n">
        <f aca="false">IFERROR(D24/C24,0)</f>
        <v>922.827142857143</v>
      </c>
      <c r="F24" s="31" t="n">
        <f aca="false">RANK(D24,$D$14:$D$63)</f>
        <v>11</v>
      </c>
      <c r="G24" s="31" t="str">
        <f aca="false">IF(D24&gt;=$B$12,"High-Value","Regular")</f>
        <v>High-Value</v>
      </c>
      <c r="H24" s="31" t="str">
        <f aca="false">IF(COUNTIF($K$14:$K$23,A24)&gt;0,"Yes","No")</f>
        <v>No</v>
      </c>
      <c r="K24" s="19" t="s">
        <v>486</v>
      </c>
    </row>
    <row r="25" customFormat="false" ht="15" hidden="false" customHeight="false" outlineLevel="0" collapsed="false">
      <c r="A25" s="31" t="s">
        <v>260</v>
      </c>
      <c r="B25" s="31" t="str">
        <f aca="false">UPPER(LEFT(A25,1)&amp;MID(A25,FIND(" ",A25)+1,1))&amp;"-"&amp;TEXT(F25,"00")</f>
        <v>GM-12</v>
      </c>
      <c r="C25" s="31" t="n">
        <f aca="false">COUNTIFS('Raw Data'!$D$2:$D$251,A25)</f>
        <v>4</v>
      </c>
      <c r="D25" s="40" t="n">
        <f aca="false">SUMIFS('Raw Data'!$N$2:$N$251,'Raw Data'!$D$2:$D$251,A25)</f>
        <v>6379.87</v>
      </c>
      <c r="E25" s="40" t="n">
        <f aca="false">IFERROR(D25/C25,0)</f>
        <v>1594.9675</v>
      </c>
      <c r="F25" s="31" t="n">
        <f aca="false">RANK(D25,$D$14:$D$63)</f>
        <v>12</v>
      </c>
      <c r="G25" s="31" t="str">
        <f aca="false">IF(D25&gt;=$B$12,"High-Value","Regular")</f>
        <v>High-Value</v>
      </c>
      <c r="H25" s="31" t="str">
        <f aca="false">IF(COUNTIF($K$14:$K$23,A25)&gt;0,"Yes","No")</f>
        <v>No</v>
      </c>
    </row>
    <row r="26" customFormat="false" ht="15" hidden="false" customHeight="false" outlineLevel="0" collapsed="false">
      <c r="A26" s="31" t="s">
        <v>298</v>
      </c>
      <c r="B26" s="31" t="str">
        <f aca="false">UPPER(LEFT(A26,1)&amp;MID(A26,FIND(" ",A26)+1,1))&amp;"-"&amp;TEXT(F26,"00")</f>
        <v>SP-13</v>
      </c>
      <c r="C26" s="31" t="n">
        <f aca="false">COUNTIFS('Raw Data'!$D$2:$D$251,A26)</f>
        <v>5</v>
      </c>
      <c r="D26" s="40" t="n">
        <f aca="false">SUMIFS('Raw Data'!$N$2:$N$251,'Raw Data'!$D$2:$D$251,A26)</f>
        <v>6349.83</v>
      </c>
      <c r="E26" s="40" t="n">
        <f aca="false">IFERROR(D26/C26,0)</f>
        <v>1269.966</v>
      </c>
      <c r="F26" s="31" t="n">
        <f aca="false">RANK(D26,$D$14:$D$63)</f>
        <v>13</v>
      </c>
      <c r="G26" s="31" t="str">
        <f aca="false">IF(D26&gt;=$B$12,"High-Value","Regular")</f>
        <v>High-Value</v>
      </c>
      <c r="H26" s="31" t="str">
        <f aca="false">IF(COUNTIF($K$14:$K$23,A26)&gt;0,"Yes","No")</f>
        <v>No</v>
      </c>
    </row>
    <row r="27" customFormat="false" ht="15" hidden="false" customHeight="false" outlineLevel="0" collapsed="false">
      <c r="A27" s="31" t="s">
        <v>106</v>
      </c>
      <c r="B27" s="31" t="str">
        <f aca="false">UPPER(LEFT(A27,1)&amp;MID(A27,FIND(" ",A27)+1,1))&amp;"-"&amp;TEXT(F27,"00")</f>
        <v>MB-14</v>
      </c>
      <c r="C27" s="31" t="n">
        <f aca="false">COUNTIFS('Raw Data'!$D$2:$D$251,A27)</f>
        <v>9</v>
      </c>
      <c r="D27" s="40" t="n">
        <f aca="false">SUMIFS('Raw Data'!$N$2:$N$251,'Raw Data'!$D$2:$D$251,A27)</f>
        <v>6169.74</v>
      </c>
      <c r="E27" s="40" t="n">
        <f aca="false">IFERROR(D27/C27,0)</f>
        <v>685.526666666667</v>
      </c>
      <c r="F27" s="31" t="n">
        <f aca="false">RANK(D27,$D$14:$D$63)</f>
        <v>14</v>
      </c>
      <c r="G27" s="31" t="str">
        <f aca="false">IF(D27&gt;=$B$12,"High-Value","Regular")</f>
        <v>Regular</v>
      </c>
      <c r="H27" s="31" t="str">
        <f aca="false">IF(COUNTIF($K$14:$K$23,A27)&gt;0,"Yes","No")</f>
        <v>No</v>
      </c>
    </row>
    <row r="28" customFormat="false" ht="15" hidden="false" customHeight="false" outlineLevel="0" collapsed="false">
      <c r="A28" s="31" t="s">
        <v>136</v>
      </c>
      <c r="B28" s="31" t="str">
        <f aca="false">UPPER(LEFT(A28,1)&amp;MID(A28,FIND(" ",A28)+1,1))&amp;"-"&amp;TEXT(F28,"00")</f>
        <v>PR-15</v>
      </c>
      <c r="C28" s="31" t="n">
        <f aca="false">COUNTIFS('Raw Data'!$D$2:$D$251,A28)</f>
        <v>5</v>
      </c>
      <c r="D28" s="40" t="n">
        <f aca="false">SUMIFS('Raw Data'!$N$2:$N$251,'Raw Data'!$D$2:$D$251,A28)</f>
        <v>5949.85</v>
      </c>
      <c r="E28" s="40" t="n">
        <f aca="false">IFERROR(D28/C28,0)</f>
        <v>1189.97</v>
      </c>
      <c r="F28" s="31" t="n">
        <f aca="false">RANK(D28,$D$14:$D$63)</f>
        <v>15</v>
      </c>
      <c r="G28" s="31" t="str">
        <f aca="false">IF(D28&gt;=$B$12,"High-Value","Regular")</f>
        <v>Regular</v>
      </c>
      <c r="H28" s="31" t="str">
        <f aca="false">IF(COUNTIF($K$14:$K$23,A28)&gt;0,"Yes","No")</f>
        <v>Yes</v>
      </c>
    </row>
    <row r="29" customFormat="false" ht="15" hidden="false" customHeight="false" outlineLevel="0" collapsed="false">
      <c r="A29" s="31" t="s">
        <v>222</v>
      </c>
      <c r="B29" s="31" t="str">
        <f aca="false">UPPER(LEFT(A29,1)&amp;MID(A29,FIND(" ",A29)+1,1))&amp;"-"&amp;TEXT(F29,"00")</f>
        <v>BC-16</v>
      </c>
      <c r="C29" s="31" t="n">
        <f aca="false">COUNTIFS('Raw Data'!$D$2:$D$251,A29)</f>
        <v>5</v>
      </c>
      <c r="D29" s="40" t="n">
        <f aca="false">SUMIFS('Raw Data'!$N$2:$N$251,'Raw Data'!$D$2:$D$251,A29)</f>
        <v>5649.84</v>
      </c>
      <c r="E29" s="40" t="n">
        <f aca="false">IFERROR(D29/C29,0)</f>
        <v>1129.968</v>
      </c>
      <c r="F29" s="31" t="n">
        <f aca="false">RANK(D29,$D$14:$D$63)</f>
        <v>16</v>
      </c>
      <c r="G29" s="31" t="str">
        <f aca="false">IF(D29&gt;=$B$12,"High-Value","Regular")</f>
        <v>Regular</v>
      </c>
      <c r="H29" s="31" t="str">
        <f aca="false">IF(COUNTIF($K$14:$K$23,A29)&gt;0,"Yes","No")</f>
        <v>No</v>
      </c>
    </row>
    <row r="30" customFormat="false" ht="15" hidden="false" customHeight="false" outlineLevel="0" collapsed="false">
      <c r="A30" s="31" t="s">
        <v>214</v>
      </c>
      <c r="B30" s="31" t="str">
        <f aca="false">UPPER(LEFT(A30,1)&amp;MID(A30,FIND(" ",A30)+1,1))&amp;"-"&amp;TEXT(F30,"00")</f>
        <v>SB-17</v>
      </c>
      <c r="C30" s="31" t="n">
        <f aca="false">COUNTIFS('Raw Data'!$D$2:$D$251,A30)</f>
        <v>6</v>
      </c>
      <c r="D30" s="40" t="n">
        <f aca="false">SUMIFS('Raw Data'!$N$2:$N$251,'Raw Data'!$D$2:$D$251,A30)</f>
        <v>5619.87</v>
      </c>
      <c r="E30" s="40" t="n">
        <f aca="false">IFERROR(D30/C30,0)</f>
        <v>936.645</v>
      </c>
      <c r="F30" s="31" t="n">
        <f aca="false">RANK(D30,$D$14:$D$63)</f>
        <v>17</v>
      </c>
      <c r="G30" s="31" t="str">
        <f aca="false">IF(D30&gt;=$B$12,"High-Value","Regular")</f>
        <v>Regular</v>
      </c>
      <c r="H30" s="31" t="str">
        <f aca="false">IF(COUNTIF($K$14:$K$23,A30)&gt;0,"Yes","No")</f>
        <v>No</v>
      </c>
    </row>
    <row r="31" customFormat="false" ht="15" hidden="false" customHeight="false" outlineLevel="0" collapsed="false">
      <c r="A31" s="31" t="s">
        <v>208</v>
      </c>
      <c r="B31" s="31" t="str">
        <f aca="false">UPPER(LEFT(A31,1)&amp;MID(A31,FIND(" ",A31)+1,1))&amp;"-"&amp;TEXT(F31,"00")</f>
        <v>HM-18</v>
      </c>
      <c r="C31" s="31" t="n">
        <f aca="false">COUNTIFS('Raw Data'!$D$2:$D$251,A31)</f>
        <v>4</v>
      </c>
      <c r="D31" s="40" t="n">
        <f aca="false">SUMIFS('Raw Data'!$N$2:$N$251,'Raw Data'!$D$2:$D$251,A31)</f>
        <v>5519.89</v>
      </c>
      <c r="E31" s="40" t="n">
        <f aca="false">IFERROR(D31/C31,0)</f>
        <v>1379.9725</v>
      </c>
      <c r="F31" s="31" t="n">
        <f aca="false">RANK(D31,$D$14:$D$63)</f>
        <v>18</v>
      </c>
      <c r="G31" s="31" t="str">
        <f aca="false">IF(D31&gt;=$B$12,"High-Value","Regular")</f>
        <v>Regular</v>
      </c>
      <c r="H31" s="31" t="str">
        <f aca="false">IF(COUNTIF($K$14:$K$23,A31)&gt;0,"Yes","No")</f>
        <v>No</v>
      </c>
    </row>
    <row r="32" customFormat="false" ht="15" hidden="false" customHeight="false" outlineLevel="0" collapsed="false">
      <c r="A32" s="31" t="s">
        <v>218</v>
      </c>
      <c r="B32" s="31" t="str">
        <f aca="false">UPPER(LEFT(A32,1)&amp;MID(A32,FIND(" ",A32)+1,1))&amp;"-"&amp;TEXT(F32,"00")</f>
        <v>SD-19</v>
      </c>
      <c r="C32" s="31" t="n">
        <f aca="false">COUNTIFS('Raw Data'!$D$2:$D$251,A32)</f>
        <v>5</v>
      </c>
      <c r="D32" s="40" t="n">
        <f aca="false">SUMIFS('Raw Data'!$N$2:$N$251,'Raw Data'!$D$2:$D$251,A32)</f>
        <v>5499.81</v>
      </c>
      <c r="E32" s="40" t="n">
        <f aca="false">IFERROR(D32/C32,0)</f>
        <v>1099.962</v>
      </c>
      <c r="F32" s="31" t="n">
        <f aca="false">RANK(D32,$D$14:$D$63)</f>
        <v>19</v>
      </c>
      <c r="G32" s="31" t="str">
        <f aca="false">IF(D32&gt;=$B$12,"High-Value","Regular")</f>
        <v>Regular</v>
      </c>
      <c r="H32" s="31" t="str">
        <f aca="false">IF(COUNTIF($K$14:$K$23,A32)&gt;0,"Yes","No")</f>
        <v>No</v>
      </c>
    </row>
    <row r="33" customFormat="false" ht="15" hidden="false" customHeight="false" outlineLevel="0" collapsed="false">
      <c r="A33" s="31" t="s">
        <v>119</v>
      </c>
      <c r="B33" s="31" t="str">
        <f aca="false">UPPER(LEFT(A33,1)&amp;MID(A33,FIND(" ",A33)+1,1))&amp;"-"&amp;TEXT(F33,"00")</f>
        <v>CA-20</v>
      </c>
      <c r="C33" s="31" t="n">
        <f aca="false">COUNTIFS('Raw Data'!$D$2:$D$251,A33)</f>
        <v>9</v>
      </c>
      <c r="D33" s="40" t="n">
        <f aca="false">SUMIFS('Raw Data'!$N$2:$N$251,'Raw Data'!$D$2:$D$251,A33)</f>
        <v>5089.73</v>
      </c>
      <c r="E33" s="40" t="n">
        <f aca="false">IFERROR(D33/C33,0)</f>
        <v>565.525555555556</v>
      </c>
      <c r="F33" s="31" t="n">
        <f aca="false">RANK(D33,$D$14:$D$63)</f>
        <v>20</v>
      </c>
      <c r="G33" s="31" t="str">
        <f aca="false">IF(D33&gt;=$B$12,"High-Value","Regular")</f>
        <v>Regular</v>
      </c>
      <c r="H33" s="31" t="str">
        <f aca="false">IF(COUNTIF($K$14:$K$23,A33)&gt;0,"Yes","No")</f>
        <v>No</v>
      </c>
    </row>
    <row r="34" customFormat="false" ht="15" hidden="false" customHeight="false" outlineLevel="0" collapsed="false">
      <c r="A34" s="31" t="s">
        <v>357</v>
      </c>
      <c r="B34" s="31" t="str">
        <f aca="false">UPPER(LEFT(A34,1)&amp;MID(A34,FIND(" ",A34)+1,1))&amp;"-"&amp;TEXT(F34,"00")</f>
        <v>DW-21</v>
      </c>
      <c r="C34" s="31" t="n">
        <f aca="false">COUNTIFS('Raw Data'!$D$2:$D$251,A34)</f>
        <v>4</v>
      </c>
      <c r="D34" s="40" t="n">
        <f aca="false">SUMIFS('Raw Data'!$N$2:$N$251,'Raw Data'!$D$2:$D$251,A34)</f>
        <v>4829.89</v>
      </c>
      <c r="E34" s="40" t="n">
        <f aca="false">IFERROR(D34/C34,0)</f>
        <v>1207.4725</v>
      </c>
      <c r="F34" s="31" t="n">
        <f aca="false">RANK(D34,$D$14:$D$63)</f>
        <v>21</v>
      </c>
      <c r="G34" s="31" t="str">
        <f aca="false">IF(D34&gt;=$B$12,"High-Value","Regular")</f>
        <v>Regular</v>
      </c>
      <c r="H34" s="31" t="str">
        <f aca="false">IF(COUNTIF($K$14:$K$23,A34)&gt;0,"Yes","No")</f>
        <v>Yes</v>
      </c>
    </row>
    <row r="35" customFormat="false" ht="15" hidden="false" customHeight="false" outlineLevel="0" collapsed="false">
      <c r="A35" s="31" t="s">
        <v>157</v>
      </c>
      <c r="B35" s="31" t="str">
        <f aca="false">UPPER(LEFT(A35,1)&amp;MID(A35,FIND(" ",A35)+1,1))&amp;"-"&amp;TEXT(F35,"00")</f>
        <v>VS-22</v>
      </c>
      <c r="C35" s="31" t="n">
        <f aca="false">COUNTIFS('Raw Data'!$D$2:$D$251,A35)</f>
        <v>6</v>
      </c>
      <c r="D35" s="40" t="n">
        <f aca="false">SUMIFS('Raw Data'!$N$2:$N$251,'Raw Data'!$D$2:$D$251,A35)</f>
        <v>4789.79</v>
      </c>
      <c r="E35" s="40" t="n">
        <f aca="false">IFERROR(D35/C35,0)</f>
        <v>798.298333333333</v>
      </c>
      <c r="F35" s="31" t="n">
        <f aca="false">RANK(D35,$D$14:$D$63)</f>
        <v>22</v>
      </c>
      <c r="G35" s="31" t="str">
        <f aca="false">IF(D35&gt;=$B$12,"High-Value","Regular")</f>
        <v>Regular</v>
      </c>
      <c r="H35" s="31" t="str">
        <f aca="false">IF(COUNTIF($K$14:$K$23,A35)&gt;0,"Yes","No")</f>
        <v>No</v>
      </c>
    </row>
    <row r="36" customFormat="false" ht="15" hidden="false" customHeight="false" outlineLevel="0" collapsed="false">
      <c r="A36" s="31" t="s">
        <v>316</v>
      </c>
      <c r="B36" s="31" t="str">
        <f aca="false">UPPER(LEFT(A36,1)&amp;MID(A36,FIND(" ",A36)+1,1))&amp;"-"&amp;TEXT(F36,"00")</f>
        <v>WW-23</v>
      </c>
      <c r="C36" s="31" t="n">
        <f aca="false">COUNTIFS('Raw Data'!$D$2:$D$251,A36)</f>
        <v>3</v>
      </c>
      <c r="D36" s="40" t="n">
        <f aca="false">SUMIFS('Raw Data'!$N$2:$N$251,'Raw Data'!$D$2:$D$251,A36)</f>
        <v>4749.91</v>
      </c>
      <c r="E36" s="40" t="n">
        <f aca="false">IFERROR(D36/C36,0)</f>
        <v>1583.30333333333</v>
      </c>
      <c r="F36" s="31" t="n">
        <f aca="false">RANK(D36,$D$14:$D$63)</f>
        <v>23</v>
      </c>
      <c r="G36" s="31" t="str">
        <f aca="false">IF(D36&gt;=$B$12,"High-Value","Regular")</f>
        <v>Regular</v>
      </c>
      <c r="H36" s="31" t="str">
        <f aca="false">IF(COUNTIF($K$14:$K$23,A36)&gt;0,"Yes","No")</f>
        <v>No</v>
      </c>
    </row>
    <row r="37" customFormat="false" ht="15" hidden="false" customHeight="false" outlineLevel="0" collapsed="false">
      <c r="A37" s="31" t="s">
        <v>205</v>
      </c>
      <c r="B37" s="31" t="str">
        <f aca="false">UPPER(LEFT(A37,1)&amp;MID(A37,FIND(" ",A37)+1,1))&amp;"-"&amp;TEXT(F37,"00")</f>
        <v>JT-24</v>
      </c>
      <c r="C37" s="31" t="n">
        <f aca="false">COUNTIFS('Raw Data'!$D$2:$D$251,A37)</f>
        <v>4</v>
      </c>
      <c r="D37" s="40" t="n">
        <f aca="false">SUMIFS('Raw Data'!$N$2:$N$251,'Raw Data'!$D$2:$D$251,A37)</f>
        <v>4739.85</v>
      </c>
      <c r="E37" s="40" t="n">
        <f aca="false">IFERROR(D37/C37,0)</f>
        <v>1184.9625</v>
      </c>
      <c r="F37" s="31" t="n">
        <f aca="false">RANK(D37,$D$14:$D$63)</f>
        <v>24</v>
      </c>
      <c r="G37" s="31" t="str">
        <f aca="false">IF(D37&gt;=$B$12,"High-Value","Regular")</f>
        <v>Regular</v>
      </c>
      <c r="H37" s="31" t="str">
        <f aca="false">IF(COUNTIF($K$14:$K$23,A37)&gt;0,"Yes","No")</f>
        <v>No</v>
      </c>
    </row>
    <row r="38" customFormat="false" ht="15" hidden="false" customHeight="false" outlineLevel="0" collapsed="false">
      <c r="A38" s="31" t="s">
        <v>102</v>
      </c>
      <c r="B38" s="31" t="str">
        <f aca="false">UPPER(LEFT(A38,1)&amp;MID(A38,FIND(" ",A38)+1,1))&amp;"-"&amp;TEXT(F38,"00")</f>
        <v>KB-25</v>
      </c>
      <c r="C38" s="31" t="n">
        <f aca="false">COUNTIFS('Raw Data'!$D$2:$D$251,A38)</f>
        <v>6</v>
      </c>
      <c r="D38" s="40" t="n">
        <f aca="false">SUMIFS('Raw Data'!$N$2:$N$251,'Raw Data'!$D$2:$D$251,A38)</f>
        <v>4309.81</v>
      </c>
      <c r="E38" s="40" t="n">
        <f aca="false">IFERROR(D38/C38,0)</f>
        <v>718.301666666667</v>
      </c>
      <c r="F38" s="31" t="n">
        <f aca="false">RANK(D38,$D$14:$D$63)</f>
        <v>25</v>
      </c>
      <c r="G38" s="31" t="str">
        <f aca="false">IF(D38&gt;=$B$12,"High-Value","Regular")</f>
        <v>Regular</v>
      </c>
      <c r="H38" s="31" t="str">
        <f aca="false">IF(COUNTIF($K$14:$K$23,A38)&gt;0,"Yes","No")</f>
        <v>No</v>
      </c>
    </row>
    <row r="39" customFormat="false" ht="15" hidden="false" customHeight="false" outlineLevel="0" collapsed="false">
      <c r="A39" s="31" t="s">
        <v>142</v>
      </c>
      <c r="B39" s="31" t="str">
        <f aca="false">UPPER(LEFT(A39,1)&amp;MID(A39,FIND(" ",A39)+1,1))&amp;"-"&amp;TEXT(F39,"00")</f>
        <v>MR-26</v>
      </c>
      <c r="C39" s="31" t="n">
        <f aca="false">COUNTIFS('Raw Data'!$D$2:$D$251,A39)</f>
        <v>2</v>
      </c>
      <c r="D39" s="40" t="n">
        <f aca="false">SUMIFS('Raw Data'!$N$2:$N$251,'Raw Data'!$D$2:$D$251,A39)</f>
        <v>4199.94</v>
      </c>
      <c r="E39" s="40" t="n">
        <f aca="false">IFERROR(D39/C39,0)</f>
        <v>2099.97</v>
      </c>
      <c r="F39" s="31" t="n">
        <f aca="false">RANK(D39,$D$14:$D$63)</f>
        <v>26</v>
      </c>
      <c r="G39" s="31" t="str">
        <f aca="false">IF(D39&gt;=$B$12,"High-Value","Regular")</f>
        <v>Regular</v>
      </c>
      <c r="H39" s="31" t="str">
        <f aca="false">IF(COUNTIF($K$14:$K$23,A39)&gt;0,"Yes","No")</f>
        <v>No</v>
      </c>
    </row>
    <row r="40" customFormat="false" ht="15" hidden="false" customHeight="false" outlineLevel="0" collapsed="false">
      <c r="A40" s="31" t="s">
        <v>172</v>
      </c>
      <c r="B40" s="31" t="str">
        <f aca="false">UPPER(LEFT(A40,1)&amp;MID(A40,FIND(" ",A40)+1,1))&amp;"-"&amp;TEXT(F40,"00")</f>
        <v>NC-27</v>
      </c>
      <c r="C40" s="31" t="n">
        <f aca="false">COUNTIFS('Raw Data'!$D$2:$D$251,A40)</f>
        <v>6</v>
      </c>
      <c r="D40" s="40" t="n">
        <f aca="false">SUMIFS('Raw Data'!$N$2:$N$251,'Raw Data'!$D$2:$D$251,A40)</f>
        <v>4189.77</v>
      </c>
      <c r="E40" s="40" t="n">
        <f aca="false">IFERROR(D40/C40,0)</f>
        <v>698.295</v>
      </c>
      <c r="F40" s="31" t="n">
        <f aca="false">RANK(D40,$D$14:$D$63)</f>
        <v>27</v>
      </c>
      <c r="G40" s="31" t="str">
        <f aca="false">IF(D40&gt;=$B$12,"High-Value","Regular")</f>
        <v>Regular</v>
      </c>
      <c r="H40" s="31" t="str">
        <f aca="false">IF(COUNTIF($K$14:$K$23,A40)&gt;0,"Yes","No")</f>
        <v>No</v>
      </c>
    </row>
    <row r="41" customFormat="false" ht="15" hidden="false" customHeight="false" outlineLevel="0" collapsed="false">
      <c r="A41" s="31" t="s">
        <v>147</v>
      </c>
      <c r="B41" s="31" t="str">
        <f aca="false">UPPER(LEFT(A41,1)&amp;MID(A41,FIND(" ",A41)+1,1))&amp;"-"&amp;TEXT(F41,"00")</f>
        <v>GA-28</v>
      </c>
      <c r="C41" s="31" t="n">
        <f aca="false">COUNTIFS('Raw Data'!$D$2:$D$251,A41)</f>
        <v>3</v>
      </c>
      <c r="D41" s="40" t="n">
        <f aca="false">SUMIFS('Raw Data'!$N$2:$N$251,'Raw Data'!$D$2:$D$251,A41)</f>
        <v>3779.93</v>
      </c>
      <c r="E41" s="40" t="n">
        <f aca="false">IFERROR(D41/C41,0)</f>
        <v>1259.97666666667</v>
      </c>
      <c r="F41" s="31" t="n">
        <f aca="false">RANK(D41,$D$14:$D$63)</f>
        <v>28</v>
      </c>
      <c r="G41" s="31" t="str">
        <f aca="false">IF(D41&gt;=$B$12,"High-Value","Regular")</f>
        <v>Regular</v>
      </c>
      <c r="H41" s="31" t="str">
        <f aca="false">IF(COUNTIF($K$14:$K$23,A41)&gt;0,"Yes","No")</f>
        <v>No</v>
      </c>
    </row>
    <row r="42" customFormat="false" ht="15" hidden="false" customHeight="false" outlineLevel="0" collapsed="false">
      <c r="A42" s="31" t="s">
        <v>166</v>
      </c>
      <c r="B42" s="31" t="str">
        <f aca="false">UPPER(LEFT(A42,1)&amp;MID(A42,FIND(" ",A42)+1,1))&amp;"-"&amp;TEXT(F42,"00")</f>
        <v>CP-29</v>
      </c>
      <c r="C42" s="31" t="n">
        <f aca="false">COUNTIFS('Raw Data'!$D$2:$D$251,A42)</f>
        <v>5</v>
      </c>
      <c r="D42" s="40" t="n">
        <f aca="false">SUMIFS('Raw Data'!$N$2:$N$251,'Raw Data'!$D$2:$D$251,A42)</f>
        <v>3769.83</v>
      </c>
      <c r="E42" s="40" t="n">
        <f aca="false">IFERROR(D42/C42,0)</f>
        <v>753.966</v>
      </c>
      <c r="F42" s="31" t="n">
        <f aca="false">RANK(D42,$D$14:$D$63)</f>
        <v>29</v>
      </c>
      <c r="G42" s="31" t="str">
        <f aca="false">IF(D42&gt;=$B$12,"High-Value","Regular")</f>
        <v>Regular</v>
      </c>
      <c r="H42" s="31" t="str">
        <f aca="false">IF(COUNTIF($K$14:$K$23,A42)&gt;0,"Yes","No")</f>
        <v>No</v>
      </c>
    </row>
    <row r="43" customFormat="false" ht="15" hidden="false" customHeight="false" outlineLevel="0" collapsed="false">
      <c r="A43" s="31" t="s">
        <v>235</v>
      </c>
      <c r="B43" s="31" t="str">
        <f aca="false">UPPER(LEFT(A43,1)&amp;MID(A43,FIND(" ",A43)+1,1))&amp;"-"&amp;TEXT(F43,"00")</f>
        <v>RR-30</v>
      </c>
      <c r="C43" s="31" t="n">
        <f aca="false">COUNTIFS('Raw Data'!$D$2:$D$251,A43)</f>
        <v>4</v>
      </c>
      <c r="D43" s="40" t="n">
        <f aca="false">SUMIFS('Raw Data'!$N$2:$N$251,'Raw Data'!$D$2:$D$251,A43)</f>
        <v>3669.85</v>
      </c>
      <c r="E43" s="40" t="n">
        <f aca="false">IFERROR(D43/C43,0)</f>
        <v>917.4625</v>
      </c>
      <c r="F43" s="31" t="n">
        <f aca="false">RANK(D43,$D$14:$D$63)</f>
        <v>30</v>
      </c>
      <c r="G43" s="31" t="str">
        <f aca="false">IF(D43&gt;=$B$12,"High-Value","Regular")</f>
        <v>Regular</v>
      </c>
      <c r="H43" s="31" t="str">
        <f aca="false">IF(COUNTIF($K$14:$K$23,A43)&gt;0,"Yes","No")</f>
        <v>No</v>
      </c>
    </row>
    <row r="44" customFormat="false" ht="15" hidden="false" customHeight="false" outlineLevel="0" collapsed="false">
      <c r="A44" s="31" t="s">
        <v>275</v>
      </c>
      <c r="B44" s="31" t="str">
        <f aca="false">UPPER(LEFT(A44,1)&amp;MID(A44,FIND(" ",A44)+1,1))&amp;"-"&amp;TEXT(F44,"00")</f>
        <v>EH-31</v>
      </c>
      <c r="C44" s="31" t="n">
        <f aca="false">COUNTIFS('Raw Data'!$D$2:$D$251,A44)</f>
        <v>4</v>
      </c>
      <c r="D44" s="40" t="n">
        <f aca="false">SUMIFS('Raw Data'!$N$2:$N$251,'Raw Data'!$D$2:$D$251,A44)</f>
        <v>3649.86</v>
      </c>
      <c r="E44" s="40" t="n">
        <f aca="false">IFERROR(D44/C44,0)</f>
        <v>912.465</v>
      </c>
      <c r="F44" s="31" t="n">
        <f aca="false">RANK(D44,$D$14:$D$63)</f>
        <v>31</v>
      </c>
      <c r="G44" s="31" t="str">
        <f aca="false">IF(D44&gt;=$B$12,"High-Value","Regular")</f>
        <v>Regular</v>
      </c>
      <c r="H44" s="31" t="str">
        <f aca="false">IF(COUNTIF($K$14:$K$23,A44)&gt;0,"Yes","No")</f>
        <v>Yes</v>
      </c>
    </row>
    <row r="45" customFormat="false" ht="15" hidden="false" customHeight="false" outlineLevel="0" collapsed="false">
      <c r="A45" s="31" t="s">
        <v>123</v>
      </c>
      <c r="B45" s="31" t="str">
        <f aca="false">UPPER(LEFT(A45,1)&amp;MID(A45,FIND(" ",A45)+1,1))&amp;"-"&amp;TEXT(F45,"00")</f>
        <v>RT-32</v>
      </c>
      <c r="C45" s="31" t="n">
        <f aca="false">COUNTIFS('Raw Data'!$D$2:$D$251,A45)</f>
        <v>5</v>
      </c>
      <c r="D45" s="40" t="n">
        <f aca="false">SUMIFS('Raw Data'!$N$2:$N$251,'Raw Data'!$D$2:$D$251,A45)</f>
        <v>3509.9</v>
      </c>
      <c r="E45" s="40" t="n">
        <f aca="false">IFERROR(D45/C45,0)</f>
        <v>701.98</v>
      </c>
      <c r="F45" s="31" t="n">
        <f aca="false">RANK(D45,$D$14:$D$63)</f>
        <v>32</v>
      </c>
      <c r="G45" s="31" t="str">
        <f aca="false">IF(D45&gt;=$B$12,"High-Value","Regular")</f>
        <v>Regular</v>
      </c>
      <c r="H45" s="31" t="str">
        <f aca="false">IF(COUNTIF($K$14:$K$23,A45)&gt;0,"Yes","No")</f>
        <v>No</v>
      </c>
    </row>
    <row r="46" customFormat="false" ht="15" hidden="false" customHeight="false" outlineLevel="0" collapsed="false">
      <c r="A46" s="31" t="s">
        <v>93</v>
      </c>
      <c r="B46" s="31" t="str">
        <f aca="false">UPPER(LEFT(A46,1)&amp;MID(A46,FIND(" ",A46)+1,1))&amp;"-"&amp;TEXT(F46,"00")</f>
        <v>KS-33</v>
      </c>
      <c r="C46" s="31" t="n">
        <f aca="false">COUNTIFS('Raw Data'!$D$2:$D$251,A46)</f>
        <v>6</v>
      </c>
      <c r="D46" s="40" t="n">
        <f aca="false">SUMIFS('Raw Data'!$N$2:$N$251,'Raw Data'!$D$2:$D$251,A46)</f>
        <v>3259.87</v>
      </c>
      <c r="E46" s="40" t="n">
        <f aca="false">IFERROR(D46/C46,0)</f>
        <v>543.311666666667</v>
      </c>
      <c r="F46" s="31" t="n">
        <f aca="false">RANK(D46,$D$14:$D$63)</f>
        <v>33</v>
      </c>
      <c r="G46" s="31" t="str">
        <f aca="false">IF(D46&gt;=$B$12,"High-Value","Regular")</f>
        <v>Regular</v>
      </c>
      <c r="H46" s="31" t="str">
        <f aca="false">IF(COUNTIF($K$14:$K$23,A46)&gt;0,"Yes","No")</f>
        <v>No</v>
      </c>
    </row>
    <row r="47" customFormat="false" ht="15" hidden="false" customHeight="false" outlineLevel="0" collapsed="false">
      <c r="A47" s="31" t="s">
        <v>202</v>
      </c>
      <c r="B47" s="31" t="str">
        <f aca="false">UPPER(LEFT(A47,1)&amp;MID(A47,FIND(" ",A47)+1,1))&amp;"-"&amp;TEXT(F47,"00")</f>
        <v>ST-34</v>
      </c>
      <c r="C47" s="31" t="n">
        <f aca="false">COUNTIFS('Raw Data'!$D$2:$D$251,A47)</f>
        <v>6</v>
      </c>
      <c r="D47" s="40" t="n">
        <f aca="false">SUMIFS('Raw Data'!$N$2:$N$251,'Raw Data'!$D$2:$D$251,A47)</f>
        <v>2649.83</v>
      </c>
      <c r="E47" s="40" t="n">
        <f aca="false">IFERROR(D47/C47,0)</f>
        <v>441.638333333333</v>
      </c>
      <c r="F47" s="31" t="n">
        <f aca="false">RANK(D47,$D$14:$D$63)</f>
        <v>34</v>
      </c>
      <c r="G47" s="31" t="str">
        <f aca="false">IF(D47&gt;=$B$12,"High-Value","Regular")</f>
        <v>Regular</v>
      </c>
      <c r="H47" s="31" t="str">
        <f aca="false">IF(COUNTIF($K$14:$K$23,A47)&gt;0,"Yes","No")</f>
        <v>No</v>
      </c>
    </row>
    <row r="48" customFormat="false" ht="15" hidden="false" customHeight="false" outlineLevel="0" collapsed="false">
      <c r="A48" s="31" t="s">
        <v>249</v>
      </c>
      <c r="B48" s="31" t="str">
        <f aca="false">UPPER(LEFT(A48,1)&amp;MID(A48,FIND(" ",A48)+1,1))&amp;"-"&amp;TEXT(F48,"00")</f>
        <v>MW-35</v>
      </c>
      <c r="C48" s="31" t="n">
        <f aca="false">COUNTIFS('Raw Data'!$D$2:$D$251,A48)</f>
        <v>4</v>
      </c>
      <c r="D48" s="40" t="n">
        <f aca="false">SUMIFS('Raw Data'!$N$2:$N$251,'Raw Data'!$D$2:$D$251,A48)</f>
        <v>2099.88</v>
      </c>
      <c r="E48" s="40" t="n">
        <f aca="false">IFERROR(D48/C48,0)</f>
        <v>524.97</v>
      </c>
      <c r="F48" s="31" t="n">
        <f aca="false">RANK(D48,$D$14:$D$63)</f>
        <v>35</v>
      </c>
      <c r="G48" s="31" t="str">
        <f aca="false">IF(D48&gt;=$B$12,"High-Value","Regular")</f>
        <v>Regular</v>
      </c>
      <c r="H48" s="31" t="str">
        <f aca="false">IF(COUNTIF($K$14:$K$23,A48)&gt;0,"Yes","No")</f>
        <v>No</v>
      </c>
    </row>
    <row r="49" customFormat="false" ht="15" hidden="false" customHeight="false" outlineLevel="0" collapsed="false">
      <c r="A49" s="31" t="s">
        <v>193</v>
      </c>
      <c r="B49" s="31" t="str">
        <f aca="false">UPPER(LEFT(A49,1)&amp;MID(A49,FIND(" ",A49)+1,1))&amp;"-"&amp;TEXT(F49,"00")</f>
        <v>LA-36</v>
      </c>
      <c r="C49" s="31" t="n">
        <f aca="false">COUNTIFS('Raw Data'!$D$2:$D$251,A49)</f>
        <v>5</v>
      </c>
      <c r="D49" s="40" t="n">
        <f aca="false">SUMIFS('Raw Data'!$N$2:$N$251,'Raw Data'!$D$2:$D$251,A49)</f>
        <v>2039.8</v>
      </c>
      <c r="E49" s="40" t="n">
        <f aca="false">IFERROR(D49/C49,0)</f>
        <v>407.96</v>
      </c>
      <c r="F49" s="31" t="n">
        <f aca="false">RANK(D49,$D$14:$D$63)</f>
        <v>36</v>
      </c>
      <c r="G49" s="31" t="str">
        <f aca="false">IF(D49&gt;=$B$12,"High-Value","Regular")</f>
        <v>Regular</v>
      </c>
      <c r="H49" s="31" t="str">
        <f aca="false">IF(COUNTIF($K$14:$K$23,A49)&gt;0,"Yes","No")</f>
        <v>No</v>
      </c>
    </row>
    <row r="50" customFormat="false" ht="15" hidden="false" customHeight="false" outlineLevel="0" collapsed="false">
      <c r="A50" s="31" t="s">
        <v>132</v>
      </c>
      <c r="B50" s="31" t="str">
        <f aca="false">UPPER(LEFT(A50,1)&amp;MID(A50,FIND(" ",A50)+1,1))&amp;"-"&amp;TEXT(F50,"00")</f>
        <v>SG-37</v>
      </c>
      <c r="C50" s="31" t="n">
        <f aca="false">COUNTIFS('Raw Data'!$D$2:$D$251,A50)</f>
        <v>4</v>
      </c>
      <c r="D50" s="40" t="n">
        <f aca="false">SUMIFS('Raw Data'!$N$2:$N$251,'Raw Data'!$D$2:$D$251,A50)</f>
        <v>1979.89</v>
      </c>
      <c r="E50" s="40" t="n">
        <f aca="false">IFERROR(D50/C50,0)</f>
        <v>494.9725</v>
      </c>
      <c r="F50" s="31" t="n">
        <f aca="false">RANK(D50,$D$14:$D$63)</f>
        <v>37</v>
      </c>
      <c r="G50" s="31" t="str">
        <f aca="false">IF(D50&gt;=$B$12,"High-Value","Regular")</f>
        <v>Regular</v>
      </c>
      <c r="H50" s="31" t="str">
        <f aca="false">IF(COUNTIF($K$14:$K$23,A50)&gt;0,"Yes","No")</f>
        <v>No</v>
      </c>
    </row>
    <row r="51" customFormat="false" ht="15" hidden="false" customHeight="false" outlineLevel="0" collapsed="false">
      <c r="A51" s="31" t="s">
        <v>153</v>
      </c>
      <c r="B51" s="31" t="str">
        <f aca="false">UPPER(LEFT(A51,1)&amp;MID(A51,FIND(" ",A51)+1,1))&amp;"-"&amp;TEXT(F51,"00")</f>
        <v>MG-38</v>
      </c>
      <c r="C51" s="31" t="n">
        <f aca="false">COUNTIFS('Raw Data'!$D$2:$D$251,A51)</f>
        <v>4</v>
      </c>
      <c r="D51" s="40" t="n">
        <f aca="false">SUMIFS('Raw Data'!$N$2:$N$251,'Raw Data'!$D$2:$D$251,A51)</f>
        <v>1909.93</v>
      </c>
      <c r="E51" s="40" t="n">
        <f aca="false">IFERROR(D51/C51,0)</f>
        <v>477.4825</v>
      </c>
      <c r="F51" s="31" t="n">
        <f aca="false">RANK(D51,$D$14:$D$63)</f>
        <v>38</v>
      </c>
      <c r="G51" s="31" t="str">
        <f aca="false">IF(D51&gt;=$B$12,"High-Value","Regular")</f>
        <v>Regular</v>
      </c>
      <c r="H51" s="31" t="str">
        <f aca="false">IF(COUNTIF($K$14:$K$23,A51)&gt;0,"Yes","No")</f>
        <v>No</v>
      </c>
    </row>
    <row r="52" customFormat="false" ht="15" hidden="false" customHeight="false" outlineLevel="0" collapsed="false">
      <c r="A52" s="31" t="s">
        <v>246</v>
      </c>
      <c r="B52" s="31" t="str">
        <f aca="false">UPPER(LEFT(A52,1)&amp;MID(A52,FIND(" ",A52)+1,1))&amp;"-"&amp;TEXT(F52,"00")</f>
        <v>DM-39</v>
      </c>
      <c r="C52" s="31" t="n">
        <f aca="false">COUNTIFS('Raw Data'!$D$2:$D$251,A52)</f>
        <v>6</v>
      </c>
      <c r="D52" s="40" t="n">
        <f aca="false">SUMIFS('Raw Data'!$N$2:$N$251,'Raw Data'!$D$2:$D$251,A52)</f>
        <v>1809.84</v>
      </c>
      <c r="E52" s="40" t="n">
        <f aca="false">IFERROR(D52/C52,0)</f>
        <v>301.64</v>
      </c>
      <c r="F52" s="31" t="n">
        <f aca="false">RANK(D52,$D$14:$D$63)</f>
        <v>39</v>
      </c>
      <c r="G52" s="31" t="str">
        <f aca="false">IF(D52&gt;=$B$12,"High-Value","Regular")</f>
        <v>Regular</v>
      </c>
      <c r="H52" s="31" t="str">
        <f aca="false">IF(COUNTIF($K$14:$K$23,A52)&gt;0,"Yes","No")</f>
        <v>No</v>
      </c>
    </row>
    <row r="53" customFormat="false" ht="15" hidden="false" customHeight="false" outlineLevel="0" collapsed="false">
      <c r="A53" s="31" t="s">
        <v>310</v>
      </c>
      <c r="B53" s="31" t="str">
        <f aca="false">UPPER(LEFT(A53,1)&amp;MID(A53,FIND(" ",A53)+1,1))&amp;"-"&amp;TEXT(F53,"00")</f>
        <v>RB-40</v>
      </c>
      <c r="C53" s="31" t="n">
        <f aca="false">COUNTIFS('Raw Data'!$D$2:$D$251,A53)</f>
        <v>3</v>
      </c>
      <c r="D53" s="40" t="n">
        <f aca="false">SUMIFS('Raw Data'!$N$2:$N$251,'Raw Data'!$D$2:$D$251,A53)</f>
        <v>1749.92</v>
      </c>
      <c r="E53" s="40" t="n">
        <f aca="false">IFERROR(D53/C53,0)</f>
        <v>583.306666666667</v>
      </c>
      <c r="F53" s="31" t="n">
        <f aca="false">RANK(D53,$D$14:$D$63)</f>
        <v>40</v>
      </c>
      <c r="G53" s="31" t="str">
        <f aca="false">IF(D53&gt;=$B$12,"High-Value","Regular")</f>
        <v>Regular</v>
      </c>
      <c r="H53" s="31" t="str">
        <f aca="false">IF(COUNTIF($K$14:$K$23,A53)&gt;0,"Yes","No")</f>
        <v>No</v>
      </c>
    </row>
    <row r="54" customFormat="false" ht="15" hidden="false" customHeight="false" outlineLevel="0" collapsed="false">
      <c r="A54" s="31" t="s">
        <v>389</v>
      </c>
      <c r="B54" s="31" t="str">
        <f aca="false">UPPER(LEFT(A54,1)&amp;MID(A54,FIND(" ",A54)+1,1))&amp;"-"&amp;TEXT(F54,"00")</f>
        <v>AE-41</v>
      </c>
      <c r="C54" s="31" t="n">
        <f aca="false">COUNTIFS('Raw Data'!$D$2:$D$251,A54)</f>
        <v>3</v>
      </c>
      <c r="D54" s="40" t="n">
        <f aca="false">SUMIFS('Raw Data'!$N$2:$N$251,'Raw Data'!$D$2:$D$251,A54)</f>
        <v>1559.94</v>
      </c>
      <c r="E54" s="40" t="n">
        <f aca="false">IFERROR(D54/C54,0)</f>
        <v>519.98</v>
      </c>
      <c r="F54" s="31" t="n">
        <f aca="false">RANK(D54,$D$14:$D$63)</f>
        <v>41</v>
      </c>
      <c r="G54" s="31" t="str">
        <f aca="false">IF(D54&gt;=$B$12,"High-Value","Regular")</f>
        <v>Regular</v>
      </c>
      <c r="H54" s="31" t="str">
        <f aca="false">IF(COUNTIF($K$14:$K$23,A54)&gt;0,"Yes","No")</f>
        <v>No</v>
      </c>
    </row>
    <row r="55" customFormat="false" ht="15" hidden="false" customHeight="false" outlineLevel="0" collapsed="false">
      <c r="A55" s="31" t="s">
        <v>256</v>
      </c>
      <c r="B55" s="31" t="str">
        <f aca="false">UPPER(LEFT(A55,1)&amp;MID(A55,FIND(" ",A55)+1,1))&amp;"-"&amp;TEXT(F55,"00")</f>
        <v>FT-42</v>
      </c>
      <c r="C55" s="31" t="n">
        <f aca="false">COUNTIFS('Raw Data'!$D$2:$D$251,A55)</f>
        <v>5</v>
      </c>
      <c r="D55" s="40" t="n">
        <f aca="false">SUMIFS('Raw Data'!$N$2:$N$251,'Raw Data'!$D$2:$D$251,A55)</f>
        <v>1479.91</v>
      </c>
      <c r="E55" s="40" t="n">
        <f aca="false">IFERROR(D55/C55,0)</f>
        <v>295.982</v>
      </c>
      <c r="F55" s="31" t="n">
        <f aca="false">RANK(D55,$D$14:$D$63)</f>
        <v>42</v>
      </c>
      <c r="G55" s="31" t="str">
        <f aca="false">IF(D55&gt;=$B$12,"High-Value","Regular")</f>
        <v>Regular</v>
      </c>
      <c r="H55" s="31" t="str">
        <f aca="false">IF(COUNTIF($K$14:$K$23,A55)&gt;0,"Yes","No")</f>
        <v>No</v>
      </c>
    </row>
    <row r="56" customFormat="false" ht="15" hidden="false" customHeight="false" outlineLevel="0" collapsed="false">
      <c r="A56" s="31" t="s">
        <v>176</v>
      </c>
      <c r="B56" s="31" t="str">
        <f aca="false">UPPER(LEFT(A56,1)&amp;MID(A56,FIND(" ",A56)+1,1))&amp;"-"&amp;TEXT(F56,"00")</f>
        <v>LM-43</v>
      </c>
      <c r="C56" s="31" t="n">
        <f aca="false">COUNTIFS('Raw Data'!$D$2:$D$251,A56)</f>
        <v>4</v>
      </c>
      <c r="D56" s="40" t="n">
        <f aca="false">SUMIFS('Raw Data'!$N$2:$N$251,'Raw Data'!$D$2:$D$251,A56)</f>
        <v>1289.9</v>
      </c>
      <c r="E56" s="40" t="n">
        <f aca="false">IFERROR(D56/C56,0)</f>
        <v>322.475</v>
      </c>
      <c r="F56" s="31" t="n">
        <f aca="false">RANK(D56,$D$14:$D$63)</f>
        <v>43</v>
      </c>
      <c r="G56" s="31" t="str">
        <f aca="false">IF(D56&gt;=$B$12,"High-Value","Regular")</f>
        <v>Regular</v>
      </c>
      <c r="H56" s="31" t="str">
        <f aca="false">IF(COUNTIF($K$14:$K$23,A56)&gt;0,"Yes","No")</f>
        <v>No</v>
      </c>
    </row>
    <row r="57" customFormat="false" ht="15" hidden="false" customHeight="false" outlineLevel="0" collapsed="false">
      <c r="A57" s="31" t="s">
        <v>196</v>
      </c>
      <c r="B57" s="31" t="str">
        <f aca="false">UPPER(LEFT(A57,1)&amp;MID(A57,FIND(" ",A57)+1,1))&amp;"-"&amp;TEXT(F57,"00")</f>
        <v>EW-44</v>
      </c>
      <c r="C57" s="31" t="n">
        <f aca="false">COUNTIFS('Raw Data'!$D$2:$D$251,A57)</f>
        <v>5</v>
      </c>
      <c r="D57" s="40" t="n">
        <f aca="false">SUMIFS('Raw Data'!$N$2:$N$251,'Raw Data'!$D$2:$D$251,A57)</f>
        <v>1229.88</v>
      </c>
      <c r="E57" s="40" t="n">
        <f aca="false">IFERROR(D57/C57,0)</f>
        <v>245.976</v>
      </c>
      <c r="F57" s="31" t="n">
        <f aca="false">RANK(D57,$D$14:$D$63)</f>
        <v>44</v>
      </c>
      <c r="G57" s="31" t="str">
        <f aca="false">IF(D57&gt;=$B$12,"High-Value","Regular")</f>
        <v>Regular</v>
      </c>
      <c r="H57" s="31" t="str">
        <f aca="false">IF(COUNTIF($K$14:$K$23,A57)&gt;0,"Yes","No")</f>
        <v>No</v>
      </c>
    </row>
    <row r="58" customFormat="false" ht="15" hidden="false" customHeight="false" outlineLevel="0" collapsed="false">
      <c r="A58" s="31" t="s">
        <v>295</v>
      </c>
      <c r="B58" s="31" t="str">
        <f aca="false">UPPER(LEFT(A58,1)&amp;MID(A58,FIND(" ",A58)+1,1))&amp;"-"&amp;TEXT(F58,"00")</f>
        <v>CE-45</v>
      </c>
      <c r="C58" s="31" t="n">
        <f aca="false">COUNTIFS('Raw Data'!$D$2:$D$251,A58)</f>
        <v>3</v>
      </c>
      <c r="D58" s="40" t="n">
        <f aca="false">SUMIFS('Raw Data'!$N$2:$N$251,'Raw Data'!$D$2:$D$251,A58)</f>
        <v>1149.93</v>
      </c>
      <c r="E58" s="40" t="n">
        <f aca="false">IFERROR(D58/C58,0)</f>
        <v>383.31</v>
      </c>
      <c r="F58" s="31" t="n">
        <f aca="false">RANK(D58,$D$14:$D$63)</f>
        <v>45</v>
      </c>
      <c r="G58" s="31" t="str">
        <f aca="false">IF(D58&gt;=$B$12,"High-Value","Regular")</f>
        <v>Regular</v>
      </c>
      <c r="H58" s="31" t="str">
        <f aca="false">IF(COUNTIF($K$14:$K$23,A58)&gt;0,"Yes","No")</f>
        <v>No</v>
      </c>
    </row>
    <row r="59" customFormat="false" ht="15" hidden="false" customHeight="false" outlineLevel="0" collapsed="false">
      <c r="A59" s="31" t="s">
        <v>323</v>
      </c>
      <c r="B59" s="31" t="str">
        <f aca="false">UPPER(LEFT(A59,1)&amp;MID(A59,FIND(" ",A59)+1,1))&amp;"-"&amp;TEXT(F59,"00")</f>
        <v>RL-46</v>
      </c>
      <c r="C59" s="31" t="n">
        <f aca="false">COUNTIFS('Raw Data'!$D$2:$D$251,A59)</f>
        <v>3</v>
      </c>
      <c r="D59" s="40" t="n">
        <f aca="false">SUMIFS('Raw Data'!$N$2:$N$251,'Raw Data'!$D$2:$D$251,A59)</f>
        <v>739.93</v>
      </c>
      <c r="E59" s="40" t="n">
        <f aca="false">IFERROR(D59/C59,0)</f>
        <v>246.643333333333</v>
      </c>
      <c r="F59" s="31" t="n">
        <f aca="false">RANK(D59,$D$14:$D$63)</f>
        <v>46</v>
      </c>
      <c r="G59" s="31" t="str">
        <f aca="false">IF(D59&gt;=$B$12,"High-Value","Regular")</f>
        <v>Regular</v>
      </c>
      <c r="H59" s="31" t="str">
        <f aca="false">IF(COUNTIF($K$14:$K$23,A59)&gt;0,"Yes","No")</f>
        <v>No</v>
      </c>
    </row>
    <row r="60" customFormat="false" ht="15" hidden="false" customHeight="false" outlineLevel="0" collapsed="false">
      <c r="A60" s="31" t="s">
        <v>450</v>
      </c>
      <c r="B60" s="31" t="str">
        <f aca="false">UPPER(LEFT(A60,1)&amp;MID(A60,FIND(" ",A60)+1,1))&amp;"-"&amp;TEXT(F60,"00")</f>
        <v>JS-47</v>
      </c>
      <c r="C60" s="31" t="n">
        <f aca="false">COUNTIFS('Raw Data'!$D$2:$D$251,A60)</f>
        <v>1</v>
      </c>
      <c r="D60" s="40" t="n">
        <f aca="false">SUMIFS('Raw Data'!$N$2:$N$251,'Raw Data'!$D$2:$D$251,A60)</f>
        <v>599.96</v>
      </c>
      <c r="E60" s="40" t="n">
        <f aca="false">IFERROR(D60/C60,0)</f>
        <v>599.96</v>
      </c>
      <c r="F60" s="31" t="n">
        <f aca="false">RANK(D60,$D$14:$D$63)</f>
        <v>47</v>
      </c>
      <c r="G60" s="31" t="str">
        <f aca="false">IF(D60&gt;=$B$12,"High-Value","Regular")</f>
        <v>Regular</v>
      </c>
      <c r="H60" s="31" t="str">
        <f aca="false">IF(COUNTIF($K$14:$K$23,A60)&gt;0,"Yes","No")</f>
        <v>No</v>
      </c>
    </row>
    <row r="61" customFormat="false" ht="15" hidden="false" customHeight="false" outlineLevel="0" collapsed="false">
      <c r="A61" s="31" t="s">
        <v>139</v>
      </c>
      <c r="B61" s="31" t="str">
        <f aca="false">UPPER(LEFT(A61,1)&amp;MID(A61,FIND(" ",A61)+1,1))&amp;"-"&amp;TEXT(F61,"00")</f>
        <v>DG-48</v>
      </c>
      <c r="C61" s="31" t="n">
        <f aca="false">COUNTIFS('Raw Data'!$D$2:$D$251,A61)</f>
        <v>2</v>
      </c>
      <c r="D61" s="40" t="n">
        <f aca="false">SUMIFS('Raw Data'!$N$2:$N$251,'Raw Data'!$D$2:$D$251,A61)</f>
        <v>479.92</v>
      </c>
      <c r="E61" s="40" t="n">
        <f aca="false">IFERROR(D61/C61,0)</f>
        <v>239.96</v>
      </c>
      <c r="F61" s="31" t="n">
        <f aca="false">RANK(D61,$D$14:$D$63)</f>
        <v>48</v>
      </c>
      <c r="G61" s="31" t="str">
        <f aca="false">IF(D61&gt;=$B$12,"High-Value","Regular")</f>
        <v>Regular</v>
      </c>
      <c r="H61" s="31" t="str">
        <f aca="false">IF(COUNTIF($K$14:$K$23,A61)&gt;0,"Yes","No")</f>
        <v>No</v>
      </c>
    </row>
    <row r="62" customFormat="false" ht="15" hidden="false" customHeight="false" outlineLevel="0" collapsed="false">
      <c r="A62" s="31" t="s">
        <v>226</v>
      </c>
      <c r="B62" s="31" t="str">
        <f aca="false">UPPER(LEFT(A62,1)&amp;MID(A62,FIND(" ",A62)+1,1))&amp;"-"&amp;TEXT(F62,"00")</f>
        <v>JF-49</v>
      </c>
      <c r="C62" s="31" t="n">
        <f aca="false">COUNTIFS('Raw Data'!$D$2:$D$251,A62)</f>
        <v>1</v>
      </c>
      <c r="D62" s="40" t="n">
        <f aca="false">SUMIFS('Raw Data'!$N$2:$N$251,'Raw Data'!$D$2:$D$251,A62)</f>
        <v>239.96</v>
      </c>
      <c r="E62" s="40" t="n">
        <f aca="false">IFERROR(D62/C62,0)</f>
        <v>239.96</v>
      </c>
      <c r="F62" s="31" t="n">
        <f aca="false">RANK(D62,$D$14:$D$63)</f>
        <v>49</v>
      </c>
      <c r="G62" s="31" t="str">
        <f aca="false">IF(D62&gt;=$B$12,"High-Value","Regular")</f>
        <v>Regular</v>
      </c>
      <c r="H62" s="31" t="str">
        <f aca="false">IF(COUNTIF($K$14:$K$23,A62)&gt;0,"Yes","No")</f>
        <v>No</v>
      </c>
    </row>
    <row r="63" customFormat="false" ht="15" hidden="false" customHeight="false" outlineLevel="0" collapsed="false">
      <c r="A63" s="31" t="s">
        <v>368</v>
      </c>
      <c r="B63" s="31" t="str">
        <f aca="false">UPPER(LEFT(A63,1)&amp;MID(A63,FIND(" ",A63)+1,1))&amp;"-"&amp;TEXT(F63,"00")</f>
        <v>JJ-50</v>
      </c>
      <c r="C63" s="31" t="n">
        <f aca="false">COUNTIFS('Raw Data'!$D$2:$D$251,A63)</f>
        <v>1</v>
      </c>
      <c r="D63" s="40" t="n">
        <f aca="false">SUMIFS('Raw Data'!$N$2:$N$251,'Raw Data'!$D$2:$D$251,A63)</f>
        <v>179.97</v>
      </c>
      <c r="E63" s="40" t="n">
        <f aca="false">IFERROR(D63/C63,0)</f>
        <v>179.97</v>
      </c>
      <c r="F63" s="31" t="n">
        <f aca="false">RANK(D63,$D$14:$D$63)</f>
        <v>50</v>
      </c>
      <c r="G63" s="31" t="str">
        <f aca="false">IF(D63&gt;=$B$12,"High-Value","Regular")</f>
        <v>Regular</v>
      </c>
      <c r="H63" s="31" t="str">
        <f aca="false">IF(COUNTIF($K$14:$K$23,A63)&gt;0,"Yes","No")</f>
        <v>No</v>
      </c>
    </row>
    <row r="64" customFormat="false" ht="15" hidden="false" customHeight="false" outlineLevel="0" collapsed="false">
      <c r="A64" s="39" t="s">
        <v>487</v>
      </c>
      <c r="C64" s="39" t="n">
        <f aca="false">SUM(C14:C63)</f>
        <v>250</v>
      </c>
      <c r="D64" s="42" t="n">
        <f aca="false">SUM(D14:D63)</f>
        <v>229192.47</v>
      </c>
    </row>
    <row r="65" customFormat="false" ht="15" hidden="false" customHeight="false" outlineLevel="0" collapsed="false">
      <c r="A65" s="39" t="s">
        <v>488</v>
      </c>
      <c r="B65" s="31" t="str">
        <f aca="false">INDEX(A14:A63,MATCH(MAX(D14:D63),D14:D63,0))</f>
        <v>Mark Carter</v>
      </c>
    </row>
    <row r="66" customFormat="false" ht="15" hidden="false" customHeight="false" outlineLevel="0" collapsed="false">
      <c r="A66" s="39" t="s">
        <v>489</v>
      </c>
      <c r="B66" s="31" t="n">
        <f aca="false">COUNTIF(G14:G63,"High-Value")</f>
        <v>13</v>
      </c>
    </row>
    <row r="68" customFormat="false" ht="15" hidden="false" customHeight="false" outlineLevel="0" collapsed="false">
      <c r="A68" s="35" t="s">
        <v>490</v>
      </c>
    </row>
    <row r="69" customFormat="false" ht="15" hidden="false" customHeight="false" outlineLevel="0" collapsed="false">
      <c r="A69" s="30" t="s">
        <v>491</v>
      </c>
      <c r="B69" s="30" t="s">
        <v>66</v>
      </c>
      <c r="C69" s="30" t="s">
        <v>492</v>
      </c>
      <c r="D69" s="30" t="s">
        <v>493</v>
      </c>
      <c r="E69" s="30" t="s">
        <v>494</v>
      </c>
      <c r="F69" s="30" t="s">
        <v>495</v>
      </c>
    </row>
    <row r="70" customFormat="false" ht="15" hidden="false" customHeight="false" outlineLevel="0" collapsed="false">
      <c r="A70" s="31" t="s">
        <v>125</v>
      </c>
      <c r="B70" s="31" t="s">
        <v>82</v>
      </c>
      <c r="C70" s="31" t="n">
        <f aca="false">COUNTIF('Raw Data'!$F$2:$F$251,A70)</f>
        <v>24</v>
      </c>
      <c r="D70" s="31" t="n">
        <f aca="false">SUMIFS('Raw Data'!$H$2:$H$251,'Raw Data'!$F$2:$F$251,A70)</f>
        <v>75</v>
      </c>
      <c r="E70" s="40" t="n">
        <f aca="false">SUMIFS('Raw Data'!$N$2:$N$251,'Raw Data'!$F$2:$F$251,A70)</f>
        <v>67499.25</v>
      </c>
      <c r="F70" s="43" t="n">
        <f aca="false">E70/$E$80</f>
        <v>0.29450902117334</v>
      </c>
    </row>
    <row r="71" customFormat="false" ht="15" hidden="false" customHeight="false" outlineLevel="0" collapsed="false">
      <c r="A71" s="31" t="s">
        <v>144</v>
      </c>
      <c r="B71" s="31" t="s">
        <v>82</v>
      </c>
      <c r="C71" s="31" t="n">
        <f aca="false">COUNTIF('Raw Data'!$F$2:$F$251,A71)</f>
        <v>31</v>
      </c>
      <c r="D71" s="31" t="n">
        <f aca="false">SUMIFS('Raw Data'!$H$2:$H$251,'Raw Data'!$F$2:$F$251,A71)</f>
        <v>96</v>
      </c>
      <c r="E71" s="40" t="n">
        <f aca="false">SUMIFS('Raw Data'!$N$2:$N$251,'Raw Data'!$F$2:$F$251,A71)</f>
        <v>67199.04</v>
      </c>
      <c r="F71" s="43" t="n">
        <f aca="false">E71/$E$80</f>
        <v>0.293199161386061</v>
      </c>
    </row>
    <row r="72" customFormat="false" ht="15" hidden="false" customHeight="false" outlineLevel="0" collapsed="false">
      <c r="A72" s="31" t="s">
        <v>116</v>
      </c>
      <c r="B72" s="31" t="s">
        <v>82</v>
      </c>
      <c r="C72" s="31" t="n">
        <f aca="false">COUNTIF('Raw Data'!$F$2:$F$251,A72)</f>
        <v>16</v>
      </c>
      <c r="D72" s="31" t="n">
        <f aca="false">SUMIFS('Raw Data'!$H$2:$H$251,'Raw Data'!$F$2:$F$251,A72)</f>
        <v>47</v>
      </c>
      <c r="E72" s="40" t="n">
        <f aca="false">SUMIFS('Raw Data'!$N$2:$N$251,'Raw Data'!$F$2:$F$251,A72)</f>
        <v>7049.53</v>
      </c>
      <c r="F72" s="43" t="n">
        <f aca="false">E72/$E$80</f>
        <v>0.0307581222018333</v>
      </c>
    </row>
    <row r="73" customFormat="false" ht="15" hidden="false" customHeight="false" outlineLevel="0" collapsed="false">
      <c r="A73" s="31" t="s">
        <v>178</v>
      </c>
      <c r="B73" s="31" t="s">
        <v>96</v>
      </c>
      <c r="C73" s="31" t="n">
        <f aca="false">COUNTIF('Raw Data'!$F$2:$F$251,A73)</f>
        <v>14</v>
      </c>
      <c r="D73" s="31" t="n">
        <f aca="false">SUMIFS('Raw Data'!$H$2:$H$251,'Raw Data'!$F$2:$F$251,A73)</f>
        <v>39</v>
      </c>
      <c r="E73" s="40" t="n">
        <f aca="false">SUMIFS('Raw Data'!$N$2:$N$251,'Raw Data'!$F$2:$F$251,A73)</f>
        <v>3119.61</v>
      </c>
      <c r="F73" s="43" t="n">
        <f aca="false">E73/$E$80</f>
        <v>0.0136113110522348</v>
      </c>
    </row>
    <row r="74" customFormat="false" ht="15" hidden="false" customHeight="false" outlineLevel="0" collapsed="false">
      <c r="A74" s="31" t="s">
        <v>95</v>
      </c>
      <c r="B74" s="31" t="s">
        <v>96</v>
      </c>
      <c r="C74" s="31" t="n">
        <f aca="false">COUNTIF('Raw Data'!$F$2:$F$251,A74)</f>
        <v>29</v>
      </c>
      <c r="D74" s="31" t="n">
        <f aca="false">SUMIFS('Raw Data'!$H$2:$H$251,'Raw Data'!$F$2:$F$251,A74)</f>
        <v>87</v>
      </c>
      <c r="E74" s="40" t="n">
        <f aca="false">SUMIFS('Raw Data'!$N$2:$N$251,'Raw Data'!$F$2:$F$251,A74)</f>
        <v>5219.13</v>
      </c>
      <c r="F74" s="43" t="n">
        <f aca="false">E74/$E$80</f>
        <v>0.022771821430259</v>
      </c>
    </row>
    <row r="75" customFormat="false" ht="15" hidden="false" customHeight="false" outlineLevel="0" collapsed="false">
      <c r="A75" s="31" t="s">
        <v>190</v>
      </c>
      <c r="B75" s="31" t="s">
        <v>109</v>
      </c>
      <c r="C75" s="31" t="n">
        <f aca="false">COUNTIF('Raw Data'!$F$2:$F$251,A75)</f>
        <v>15</v>
      </c>
      <c r="D75" s="31" t="n">
        <f aca="false">SUMIFS('Raw Data'!$H$2:$H$251,'Raw Data'!$F$2:$F$251,A75)</f>
        <v>52</v>
      </c>
      <c r="E75" s="40" t="n">
        <f aca="false">SUMIFS('Raw Data'!$N$2:$N$251,'Raw Data'!$F$2:$F$251,A75)</f>
        <v>10399.48</v>
      </c>
      <c r="F75" s="43" t="n">
        <f aca="false">E75/$E$80</f>
        <v>0.0453744400939525</v>
      </c>
    </row>
    <row r="76" customFormat="false" ht="15" hidden="false" customHeight="false" outlineLevel="0" collapsed="false">
      <c r="A76" s="31" t="s">
        <v>169</v>
      </c>
      <c r="B76" s="31" t="s">
        <v>109</v>
      </c>
      <c r="C76" s="31" t="n">
        <f aca="false">COUNTIF('Raw Data'!$F$2:$F$251,A76)</f>
        <v>26</v>
      </c>
      <c r="D76" s="31" t="n">
        <f aca="false">SUMIFS('Raw Data'!$H$2:$H$251,'Raw Data'!$F$2:$F$251,A76)</f>
        <v>78</v>
      </c>
      <c r="E76" s="40" t="n">
        <f aca="false">SUMIFS('Raw Data'!$N$2:$N$251,'Raw Data'!$F$2:$F$251,A76)</f>
        <v>23399.22</v>
      </c>
      <c r="F76" s="43" t="n">
        <f aca="false">E76/$E$80</f>
        <v>0.102094191837978</v>
      </c>
    </row>
    <row r="77" customFormat="false" ht="15" hidden="false" customHeight="false" outlineLevel="0" collapsed="false">
      <c r="A77" s="31" t="s">
        <v>108</v>
      </c>
      <c r="B77" s="31" t="s">
        <v>109</v>
      </c>
      <c r="C77" s="31" t="n">
        <f aca="false">COUNTIF('Raw Data'!$F$2:$F$251,A77)</f>
        <v>35</v>
      </c>
      <c r="D77" s="31" t="n">
        <f aca="false">SUMIFS('Raw Data'!$H$2:$H$251,'Raw Data'!$F$2:$F$251,A77)</f>
        <v>102</v>
      </c>
      <c r="E77" s="40" t="n">
        <f aca="false">SUMIFS('Raw Data'!$N$2:$N$251,'Raw Data'!$F$2:$F$251,A77)</f>
        <v>15298.98</v>
      </c>
      <c r="F77" s="43" t="n">
        <f aca="false">E77/$E$80</f>
        <v>0.0667516694592977</v>
      </c>
    </row>
    <row r="78" customFormat="false" ht="15" hidden="false" customHeight="false" outlineLevel="0" collapsed="false">
      <c r="A78" s="31" t="s">
        <v>81</v>
      </c>
      <c r="B78" s="31" t="s">
        <v>82</v>
      </c>
      <c r="C78" s="31" t="n">
        <f aca="false">COUNTIF('Raw Data'!$F$2:$F$251,A78)</f>
        <v>26</v>
      </c>
      <c r="D78" s="31" t="n">
        <f aca="false">SUMIFS('Raw Data'!$H$2:$H$251,'Raw Data'!$F$2:$F$251,A78)</f>
        <v>88</v>
      </c>
      <c r="E78" s="40" t="n">
        <f aca="false">SUMIFS('Raw Data'!$N$2:$N$251,'Raw Data'!$F$2:$F$251,A78)</f>
        <v>21999.12</v>
      </c>
      <c r="F78" s="43" t="n">
        <f aca="false">E78/$E$80</f>
        <v>0.0959853523983576</v>
      </c>
    </row>
    <row r="79" customFormat="false" ht="15" hidden="false" customHeight="false" outlineLevel="0" collapsed="false">
      <c r="A79" s="31" t="s">
        <v>181</v>
      </c>
      <c r="B79" s="31" t="s">
        <v>82</v>
      </c>
      <c r="C79" s="31" t="n">
        <f aca="false">COUNTIF('Raw Data'!$F$2:$F$251,A79)</f>
        <v>34</v>
      </c>
      <c r="D79" s="31" t="n">
        <f aca="false">SUMIFS('Raw Data'!$H$2:$H$251,'Raw Data'!$F$2:$F$251,A79)</f>
        <v>89</v>
      </c>
      <c r="E79" s="40" t="n">
        <f aca="false">SUMIFS('Raw Data'!$N$2:$N$251,'Raw Data'!$F$2:$F$251,A79)</f>
        <v>8009.11</v>
      </c>
      <c r="F79" s="43" t="n">
        <f aca="false">E79/$E$80</f>
        <v>0.0349449089666864</v>
      </c>
    </row>
    <row r="80" customFormat="false" ht="15" hidden="false" customHeight="false" outlineLevel="0" collapsed="false">
      <c r="A80" s="39" t="s">
        <v>487</v>
      </c>
      <c r="C80" s="39" t="n">
        <f aca="false">SUM(C70:C79)</f>
        <v>250</v>
      </c>
      <c r="D80" s="39" t="n">
        <f aca="false">SUM(D70:D79)</f>
        <v>753</v>
      </c>
      <c r="E80" s="42" t="n">
        <f aca="false">SUM(E70:E79)</f>
        <v>229192.47</v>
      </c>
    </row>
    <row r="81" customFormat="false" ht="15" hidden="false" customHeight="false" outlineLevel="0" collapsed="false">
      <c r="A81" s="39" t="s">
        <v>496</v>
      </c>
      <c r="B81" s="31" t="str">
        <f aca="false">INDEX(A70:A79,MATCH(MAX(C70:C79),C70:C79,0))</f>
        <v>Bookshelf</v>
      </c>
    </row>
    <row r="82" customFormat="false" ht="15" hidden="false" customHeight="false" outlineLevel="0" collapsed="false">
      <c r="A82" s="39" t="s">
        <v>497</v>
      </c>
      <c r="B82" s="31" t="str">
        <f aca="false">INDEX(A70:A79,MATCH(MAX(D70:D79),D70:D79,0))</f>
        <v>Bookshelf</v>
      </c>
    </row>
    <row r="83" customFormat="false" ht="15" hidden="false" customHeight="false" outlineLevel="0" collapsed="false">
      <c r="A83" s="39" t="s">
        <v>498</v>
      </c>
      <c r="B83" s="31" t="str">
        <f aca="false">INDEX(A70:A79,MATCH(MAX(E70:E79),E70:E79,0))</f>
        <v>Laptop</v>
      </c>
    </row>
    <row r="85" customFormat="false" ht="15" hidden="false" customHeight="false" outlineLevel="0" collapsed="false">
      <c r="A85" s="35" t="s">
        <v>499</v>
      </c>
    </row>
    <row r="86" customFormat="false" ht="15" hidden="false" customHeight="false" outlineLevel="0" collapsed="false">
      <c r="A86" s="30" t="s">
        <v>70</v>
      </c>
      <c r="B86" s="30" t="s">
        <v>475</v>
      </c>
      <c r="C86" s="30" t="s">
        <v>494</v>
      </c>
      <c r="D86" s="30" t="s">
        <v>495</v>
      </c>
      <c r="E86" s="30" t="s">
        <v>478</v>
      </c>
    </row>
    <row r="87" customFormat="false" ht="15" hidden="false" customHeight="false" outlineLevel="0" collapsed="false">
      <c r="A87" s="31" t="s">
        <v>84</v>
      </c>
      <c r="B87" s="31" t="n">
        <f aca="false">COUNTIF('Raw Data'!$K$2:$K$251,A87)</f>
        <v>54</v>
      </c>
      <c r="C87" s="40" t="n">
        <f aca="false">SUMIFS('Raw Data'!$N$2:$N$251,'Raw Data'!$K$2:$K$251,A87)</f>
        <v>41288.34</v>
      </c>
      <c r="D87" s="43" t="n">
        <f aca="false">C87/$C$92</f>
        <v>0.180147017919044</v>
      </c>
      <c r="E87" s="31" t="n">
        <f aca="false">RANK(C87,$C$87:$C$91)</f>
        <v>4</v>
      </c>
    </row>
    <row r="88" customFormat="false" ht="15" hidden="false" customHeight="false" outlineLevel="0" collapsed="false">
      <c r="A88" s="31" t="s">
        <v>126</v>
      </c>
      <c r="B88" s="31" t="n">
        <f aca="false">COUNTIF('Raw Data'!$K$2:$K$251,A88)</f>
        <v>48</v>
      </c>
      <c r="C88" s="40" t="n">
        <f aca="false">SUMIFS('Raw Data'!$N$2:$N$251,'Raw Data'!$K$2:$K$251,A88)</f>
        <v>59288.39</v>
      </c>
      <c r="D88" s="43" t="n">
        <f aca="false">C88/$C$92</f>
        <v>0.258683847684874</v>
      </c>
      <c r="E88" s="31" t="n">
        <f aca="false">RANK(C88,$C$87:$C$91)</f>
        <v>1</v>
      </c>
    </row>
    <row r="89" customFormat="false" ht="15" hidden="false" customHeight="false" outlineLevel="0" collapsed="false">
      <c r="A89" s="31" t="s">
        <v>103</v>
      </c>
      <c r="B89" s="31" t="n">
        <f aca="false">COUNTIF('Raw Data'!$K$2:$K$251,A89)</f>
        <v>59</v>
      </c>
      <c r="C89" s="40" t="n">
        <f aca="false">SUMIFS('Raw Data'!$N$2:$N$251,'Raw Data'!$K$2:$K$251,A89)</f>
        <v>50808.31</v>
      </c>
      <c r="D89" s="43" t="n">
        <f aca="false">C89/$C$92</f>
        <v>0.221684028275449</v>
      </c>
      <c r="E89" s="31" t="n">
        <f aca="false">RANK(C89,$C$87:$C$91)</f>
        <v>2</v>
      </c>
    </row>
    <row r="90" customFormat="false" ht="15" hidden="false" customHeight="false" outlineLevel="0" collapsed="false">
      <c r="A90" s="31" t="s">
        <v>98</v>
      </c>
      <c r="B90" s="31" t="n">
        <f aca="false">COUNTIF('Raw Data'!$K$2:$K$251,A90)</f>
        <v>42</v>
      </c>
      <c r="C90" s="40" t="n">
        <f aca="false">SUMIFS('Raw Data'!$N$2:$N$251,'Raw Data'!$K$2:$K$251,A90)</f>
        <v>36398.75</v>
      </c>
      <c r="D90" s="43" t="n">
        <f aca="false">C90/$C$92</f>
        <v>0.158813027321535</v>
      </c>
      <c r="E90" s="31" t="n">
        <f aca="false">RANK(C90,$C$87:$C$91)</f>
        <v>5</v>
      </c>
    </row>
    <row r="91" customFormat="false" ht="15" hidden="false" customHeight="false" outlineLevel="0" collapsed="false">
      <c r="A91" s="31" t="s">
        <v>113</v>
      </c>
      <c r="B91" s="31" t="n">
        <f aca="false">COUNTIF('Raw Data'!$K$2:$K$251,A91)</f>
        <v>47</v>
      </c>
      <c r="C91" s="40" t="n">
        <f aca="false">SUMIFS('Raw Data'!$N$2:$N$251,'Raw Data'!$K$2:$K$251,A91)</f>
        <v>41408.68</v>
      </c>
      <c r="D91" s="43" t="n">
        <f aca="false">C91/$C$92</f>
        <v>0.180672078799098</v>
      </c>
      <c r="E91" s="31" t="n">
        <f aca="false">RANK(C91,$C$87:$C$91)</f>
        <v>3</v>
      </c>
    </row>
    <row r="92" customFormat="false" ht="15" hidden="false" customHeight="false" outlineLevel="0" collapsed="false">
      <c r="A92" s="39" t="s">
        <v>487</v>
      </c>
      <c r="B92" s="39" t="n">
        <f aca="false">SUM(B87:B91)</f>
        <v>250</v>
      </c>
      <c r="C92" s="42" t="n">
        <f aca="false">SUM(C87:C91)</f>
        <v>229192.47</v>
      </c>
    </row>
    <row r="93" customFormat="false" ht="15" hidden="false" customHeight="false" outlineLevel="0" collapsed="false">
      <c r="A93" s="39" t="s">
        <v>500</v>
      </c>
      <c r="B93" s="31" t="str">
        <f aca="false">INDEX(A87:A91,MATCH(MAX(C87:C91),C87:C91,0))</f>
        <v>East</v>
      </c>
    </row>
    <row r="95" customFormat="false" ht="15" hidden="false" customHeight="false" outlineLevel="0" collapsed="false">
      <c r="A95" s="35" t="s">
        <v>501</v>
      </c>
    </row>
    <row r="96" customFormat="false" ht="15" hidden="false" customHeight="false" outlineLevel="0" collapsed="false">
      <c r="A96" s="30" t="s">
        <v>66</v>
      </c>
      <c r="B96" s="30" t="s">
        <v>475</v>
      </c>
      <c r="C96" s="30" t="s">
        <v>494</v>
      </c>
      <c r="D96" s="30" t="s">
        <v>495</v>
      </c>
    </row>
    <row r="97" customFormat="false" ht="15" hidden="false" customHeight="false" outlineLevel="0" collapsed="false">
      <c r="A97" s="31" t="s">
        <v>82</v>
      </c>
      <c r="B97" s="31" t="n">
        <f aca="false">COUNTIF('Raw Data'!$G$2:$G$251,A97)</f>
        <v>131</v>
      </c>
      <c r="C97" s="40" t="n">
        <f aca="false">SUMIFS('Raw Data'!$N$2:$N$251,'Raw Data'!$G$2:$G$251,A97)</f>
        <v>171756.05</v>
      </c>
      <c r="D97" s="43" t="n">
        <f aca="false">C97/SUM('Raw Data'!$N$2:$N$251)</f>
        <v>0.749396566126278</v>
      </c>
    </row>
    <row r="98" customFormat="false" ht="15" hidden="false" customHeight="false" outlineLevel="0" collapsed="false">
      <c r="A98" s="31" t="s">
        <v>96</v>
      </c>
      <c r="B98" s="31" t="n">
        <f aca="false">COUNTIF('Raw Data'!$G$2:$G$251,A98)</f>
        <v>43</v>
      </c>
      <c r="C98" s="40" t="n">
        <f aca="false">SUMIFS('Raw Data'!$N$2:$N$251,'Raw Data'!$G$2:$G$251,A98)</f>
        <v>8338.74</v>
      </c>
      <c r="D98" s="43" t="n">
        <f aca="false">C98/SUM('Raw Data'!$N$2:$N$251)</f>
        <v>0.0363831324824939</v>
      </c>
    </row>
    <row r="99" customFormat="false" ht="15" hidden="false" customHeight="false" outlineLevel="0" collapsed="false">
      <c r="A99" s="31" t="s">
        <v>109</v>
      </c>
      <c r="B99" s="31" t="n">
        <f aca="false">COUNTIF('Raw Data'!$G$2:$G$251,A99)</f>
        <v>76</v>
      </c>
      <c r="C99" s="40" t="n">
        <f aca="false">SUMIFS('Raw Data'!$N$2:$N$251,'Raw Data'!$G$2:$G$251,A99)</f>
        <v>49097.68</v>
      </c>
      <c r="D99" s="43" t="n">
        <f aca="false">C99/SUM('Raw Data'!$N$2:$N$251)</f>
        <v>0.214220301391228</v>
      </c>
    </row>
    <row r="101" customFormat="false" ht="15" hidden="false" customHeight="false" outlineLevel="0" collapsed="false">
      <c r="A101" s="30" t="s">
        <v>502</v>
      </c>
      <c r="B101" s="30" t="s">
        <v>475</v>
      </c>
      <c r="C101" s="30" t="s">
        <v>494</v>
      </c>
      <c r="D101" s="30" t="s">
        <v>495</v>
      </c>
    </row>
    <row r="102" customFormat="false" ht="15" hidden="false" customHeight="false" outlineLevel="0" collapsed="false">
      <c r="A102" s="31" t="s">
        <v>83</v>
      </c>
      <c r="B102" s="31" t="n">
        <f aca="false">COUNTIF('Raw Data'!$J$2:$J$251,A102)</f>
        <v>77</v>
      </c>
      <c r="C102" s="40" t="n">
        <f aca="false">SUMIFS('Raw Data'!$N$2:$N$251,'Raw Data'!$J$2:$J$251,A102)</f>
        <v>60227.75</v>
      </c>
      <c r="D102" s="43" t="n">
        <f aca="false">C102/SUM('Raw Data'!$N$2:$N$251)</f>
        <v>0.26278241165602</v>
      </c>
    </row>
    <row r="103" customFormat="false" ht="15" hidden="false" customHeight="false" outlineLevel="0" collapsed="false">
      <c r="A103" s="31" t="s">
        <v>89</v>
      </c>
      <c r="B103" s="31" t="n">
        <f aca="false">COUNTIF('Raw Data'!$J$2:$J$251,A103)</f>
        <v>68</v>
      </c>
      <c r="C103" s="40" t="n">
        <f aca="false">SUMIFS('Raw Data'!$N$2:$N$251,'Raw Data'!$J$2:$J$251,A103)</f>
        <v>61447.96</v>
      </c>
      <c r="D103" s="43" t="n">
        <f aca="false">C103/SUM('Raw Data'!$N$2:$N$251)</f>
        <v>0.268106364925514</v>
      </c>
    </row>
    <row r="104" customFormat="false" ht="15" hidden="false" customHeight="false" outlineLevel="0" collapsed="false">
      <c r="A104" s="31" t="s">
        <v>120</v>
      </c>
      <c r="B104" s="31" t="n">
        <f aca="false">COUNTIF('Raw Data'!$J$2:$J$251,A104)</f>
        <v>53</v>
      </c>
      <c r="C104" s="40" t="n">
        <f aca="false">SUMIFS('Raw Data'!$N$2:$N$251,'Raw Data'!$J$2:$J$251,A104)</f>
        <v>49318.35</v>
      </c>
      <c r="D104" s="43" t="n">
        <f aca="false">C104/SUM('Raw Data'!$N$2:$N$251)</f>
        <v>0.215183116618098</v>
      </c>
    </row>
    <row r="105" customFormat="false" ht="15" hidden="false" customHeight="false" outlineLevel="0" collapsed="false">
      <c r="A105" s="31" t="s">
        <v>97</v>
      </c>
      <c r="B105" s="31" t="n">
        <f aca="false">COUNTIF('Raw Data'!$J$2:$J$251,A105)</f>
        <v>52</v>
      </c>
      <c r="C105" s="40" t="n">
        <f aca="false">SUMIFS('Raw Data'!$N$2:$N$251,'Raw Data'!$J$2:$J$251,A105)</f>
        <v>58198.41</v>
      </c>
      <c r="D105" s="43" t="n">
        <f aca="false">C105/SUM('Raw Data'!$N$2:$N$251)</f>
        <v>0.253928106800367</v>
      </c>
    </row>
    <row r="107" customFormat="false" ht="15" hidden="false" customHeight="false" outlineLevel="0" collapsed="false">
      <c r="A107" s="30" t="s">
        <v>503</v>
      </c>
      <c r="B107" s="30" t="s">
        <v>475</v>
      </c>
      <c r="C107" s="30" t="s">
        <v>494</v>
      </c>
      <c r="D107" s="30" t="s">
        <v>495</v>
      </c>
    </row>
    <row r="108" customFormat="false" ht="15" hidden="false" customHeight="false" outlineLevel="0" collapsed="false">
      <c r="A108" s="31" t="s">
        <v>85</v>
      </c>
      <c r="B108" s="31" t="n">
        <f aca="false">COUNTIF('Raw Data'!$L$2:$L$251,A108)</f>
        <v>73</v>
      </c>
      <c r="C108" s="40" t="n">
        <f aca="false">SUMIFS('Raw Data'!$N$2:$N$251,'Raw Data'!$L$2:$L$251,A108)</f>
        <v>61577.83</v>
      </c>
      <c r="D108" s="43" t="n">
        <f aca="false">C108/SUM('Raw Data'!$N$2:$N$251)</f>
        <v>0.26867300657827</v>
      </c>
    </row>
    <row r="109" customFormat="false" ht="15" hidden="false" customHeight="false" outlineLevel="0" collapsed="false">
      <c r="A109" s="31" t="s">
        <v>99</v>
      </c>
      <c r="B109" s="31" t="n">
        <f aca="false">COUNTIF('Raw Data'!$L$2:$L$251,A109)</f>
        <v>83</v>
      </c>
      <c r="C109" s="40" t="n">
        <f aca="false">SUMIFS('Raw Data'!$N$2:$N$251,'Raw Data'!$L$2:$L$251,A109)</f>
        <v>83707.49</v>
      </c>
      <c r="D109" s="43" t="n">
        <f aca="false">C109/SUM('Raw Data'!$N$2:$N$251)</f>
        <v>0.365227923936594</v>
      </c>
    </row>
    <row r="110" customFormat="false" ht="15" hidden="false" customHeight="false" outlineLevel="0" collapsed="false">
      <c r="A110" s="31" t="s">
        <v>90</v>
      </c>
      <c r="B110" s="31" t="n">
        <f aca="false">COUNTIF('Raw Data'!$L$2:$L$251,A110)</f>
        <v>94</v>
      </c>
      <c r="C110" s="40" t="n">
        <f aca="false">SUMIFS('Raw Data'!$N$2:$N$251,'Raw Data'!$L$2:$L$251,A110)</f>
        <v>83907.15</v>
      </c>
      <c r="D110" s="43" t="n">
        <f aca="false">C110/SUM('Raw Data'!$N$2:$N$251)</f>
        <v>0.366099069485136</v>
      </c>
    </row>
    <row r="113" customFormat="false" ht="15" hidden="false" customHeight="false" outlineLevel="0" collapsed="false">
      <c r="A113" s="35" t="s">
        <v>504</v>
      </c>
    </row>
    <row r="114" customFormat="false" ht="15" hidden="false" customHeight="false" outlineLevel="0" collapsed="false">
      <c r="A114" s="39" t="s">
        <v>505</v>
      </c>
      <c r="F114" s="44" t="s">
        <v>506</v>
      </c>
      <c r="G114" s="40" t="n">
        <f aca="false">AVERAGE(C117:C127)*1.05</f>
        <v>19214.3614090909</v>
      </c>
    </row>
    <row r="115" customFormat="false" ht="15" hidden="false" customHeight="false" outlineLevel="0" collapsed="false">
      <c r="A115" s="30" t="s">
        <v>507</v>
      </c>
      <c r="B115" s="30" t="s">
        <v>508</v>
      </c>
      <c r="C115" s="30" t="s">
        <v>494</v>
      </c>
      <c r="D115" s="30" t="s">
        <v>475</v>
      </c>
      <c r="E115" s="30" t="s">
        <v>509</v>
      </c>
      <c r="F115" s="30" t="s">
        <v>510</v>
      </c>
    </row>
    <row r="116" customFormat="false" ht="15" hidden="false" customHeight="false" outlineLevel="0" collapsed="false">
      <c r="A116" s="45" t="n">
        <f aca="false">DATE(2024,4,1)</f>
        <v>45383</v>
      </c>
      <c r="B116" s="46" t="n">
        <f aca="false">EOMONTH(A116,0)</f>
        <v>45412</v>
      </c>
      <c r="C116" s="40" t="n">
        <f aca="false">SUMIFS('Raw Data'!$N$2:$N$251,'Raw Data'!$B$2:$B$251,"&gt;="&amp;A116,'Raw Data'!$B$2:$B$251,"&lt;="&amp;B116)</f>
        <v>20919.33</v>
      </c>
      <c r="D116" s="31" t="n">
        <f aca="false">COUNTIFS('Raw Data'!$B$2:$B$251,"&gt;="&amp;A116,'Raw Data'!$B$2:$B$251,"&lt;="&amp;B116)</f>
        <v>21</v>
      </c>
      <c r="E116" s="40" t="n">
        <f aca="false">$G$114</f>
        <v>19214.3614090909</v>
      </c>
      <c r="F116" s="43" t="str">
        <f aca="false">""</f>
        <v/>
      </c>
    </row>
    <row r="117" customFormat="false" ht="15" hidden="false" customHeight="false" outlineLevel="0" collapsed="false">
      <c r="A117" s="45" t="n">
        <f aca="false">EDATE(A116,1)</f>
        <v>45413</v>
      </c>
      <c r="B117" s="46" t="n">
        <f aca="false">EOMONTH(A117,0)</f>
        <v>45443</v>
      </c>
      <c r="C117" s="40" t="n">
        <f aca="false">SUMIFS('Raw Data'!$N$2:$N$251,'Raw Data'!$B$2:$B$251,"&gt;="&amp;A117,'Raw Data'!$B$2:$B$251,"&lt;="&amp;B117)</f>
        <v>17039.35</v>
      </c>
      <c r="D117" s="31" t="n">
        <f aca="false">COUNTIFS('Raw Data'!$B$2:$B$251,"&gt;="&amp;A117,'Raw Data'!$B$2:$B$251,"&lt;="&amp;B117)</f>
        <v>19</v>
      </c>
      <c r="E117" s="40" t="n">
        <f aca="false">$G$114</f>
        <v>19214.3614090909</v>
      </c>
      <c r="F117" s="43" t="n">
        <f aca="false">IFERROR(C117/C116-1,"")</f>
        <v>-0.185473435334688</v>
      </c>
    </row>
    <row r="118" customFormat="false" ht="15" hidden="false" customHeight="false" outlineLevel="0" collapsed="false">
      <c r="A118" s="45" t="n">
        <f aca="false">EDATE(A117,1)</f>
        <v>45444</v>
      </c>
      <c r="B118" s="46" t="n">
        <f aca="false">EOMONTH(A118,0)</f>
        <v>45473</v>
      </c>
      <c r="C118" s="40" t="n">
        <f aca="false">SUMIFS('Raw Data'!$N$2:$N$251,'Raw Data'!$B$2:$B$251,"&gt;="&amp;A118,'Raw Data'!$B$2:$B$251,"&lt;="&amp;B118)</f>
        <v>19299.45</v>
      </c>
      <c r="D118" s="31" t="n">
        <f aca="false">COUNTIFS('Raw Data'!$B$2:$B$251,"&gt;="&amp;A118,'Raw Data'!$B$2:$B$251,"&lt;="&amp;B118)</f>
        <v>19</v>
      </c>
      <c r="E118" s="40" t="n">
        <f aca="false">$G$114</f>
        <v>19214.3614090909</v>
      </c>
      <c r="F118" s="43" t="n">
        <f aca="false">IFERROR(C118/C117-1,"")</f>
        <v>0.132640036151614</v>
      </c>
    </row>
    <row r="119" customFormat="false" ht="15" hidden="false" customHeight="false" outlineLevel="0" collapsed="false">
      <c r="A119" s="45" t="n">
        <f aca="false">EDATE(A118,1)</f>
        <v>45474</v>
      </c>
      <c r="B119" s="46" t="n">
        <f aca="false">EOMONTH(A119,0)</f>
        <v>45504</v>
      </c>
      <c r="C119" s="40" t="n">
        <f aca="false">SUMIFS('Raw Data'!$N$2:$N$251,'Raw Data'!$B$2:$B$251,"&gt;="&amp;A119,'Raw Data'!$B$2:$B$251,"&lt;="&amp;B119)</f>
        <v>18479.4</v>
      </c>
      <c r="D119" s="31" t="n">
        <f aca="false">COUNTIFS('Raw Data'!$B$2:$B$251,"&gt;="&amp;A119,'Raw Data'!$B$2:$B$251,"&lt;="&amp;B119)</f>
        <v>24</v>
      </c>
      <c r="E119" s="40" t="n">
        <f aca="false">$G$114</f>
        <v>19214.3614090909</v>
      </c>
      <c r="F119" s="43" t="n">
        <f aca="false">IFERROR(C119/C118-1,"")</f>
        <v>-0.0424908481847928</v>
      </c>
    </row>
    <row r="120" customFormat="false" ht="15" hidden="false" customHeight="false" outlineLevel="0" collapsed="false">
      <c r="A120" s="45" t="n">
        <f aca="false">EDATE(A119,1)</f>
        <v>45505</v>
      </c>
      <c r="B120" s="46" t="n">
        <f aca="false">EOMONTH(A120,0)</f>
        <v>45535</v>
      </c>
      <c r="C120" s="40" t="n">
        <f aca="false">SUMIFS('Raw Data'!$N$2:$N$251,'Raw Data'!$B$2:$B$251,"&gt;="&amp;A120,'Raw Data'!$B$2:$B$251,"&lt;="&amp;B120)</f>
        <v>15759.43</v>
      </c>
      <c r="D120" s="31" t="n">
        <f aca="false">COUNTIFS('Raw Data'!$B$2:$B$251,"&gt;="&amp;A120,'Raw Data'!$B$2:$B$251,"&lt;="&amp;B120)</f>
        <v>18</v>
      </c>
      <c r="E120" s="40" t="n">
        <f aca="false">$G$114</f>
        <v>19214.3614090909</v>
      </c>
      <c r="F120" s="43" t="n">
        <f aca="false">IFERROR(C120/C119-1,"")</f>
        <v>-0.147189302682988</v>
      </c>
    </row>
    <row r="121" customFormat="false" ht="15" hidden="false" customHeight="false" outlineLevel="0" collapsed="false">
      <c r="A121" s="45" t="n">
        <f aca="false">EDATE(A120,1)</f>
        <v>45536</v>
      </c>
      <c r="B121" s="46" t="n">
        <f aca="false">EOMONTH(A121,0)</f>
        <v>45565</v>
      </c>
      <c r="C121" s="40" t="n">
        <f aca="false">SUMIFS('Raw Data'!$N$2:$N$251,'Raw Data'!$B$2:$B$251,"&gt;="&amp;A121,'Raw Data'!$B$2:$B$251,"&lt;="&amp;B121)</f>
        <v>12989.51</v>
      </c>
      <c r="D121" s="31" t="n">
        <f aca="false">COUNTIFS('Raw Data'!$B$2:$B$251,"&gt;="&amp;A121,'Raw Data'!$B$2:$B$251,"&lt;="&amp;B121)</f>
        <v>19</v>
      </c>
      <c r="E121" s="40" t="n">
        <f aca="false">$G$114</f>
        <v>19214.3614090909</v>
      </c>
      <c r="F121" s="43" t="n">
        <f aca="false">IFERROR(C121/C120-1,"")</f>
        <v>-0.175762702077423</v>
      </c>
    </row>
    <row r="122" customFormat="false" ht="15" hidden="false" customHeight="false" outlineLevel="0" collapsed="false">
      <c r="A122" s="45" t="n">
        <f aca="false">EDATE(A121,1)</f>
        <v>45566</v>
      </c>
      <c r="B122" s="46" t="n">
        <f aca="false">EOMONTH(A122,0)</f>
        <v>45596</v>
      </c>
      <c r="C122" s="40" t="n">
        <f aca="false">SUMIFS('Raw Data'!$N$2:$N$251,'Raw Data'!$B$2:$B$251,"&gt;="&amp;A122,'Raw Data'!$B$2:$B$251,"&lt;="&amp;B122)</f>
        <v>20609.52</v>
      </c>
      <c r="D122" s="31" t="n">
        <f aca="false">COUNTIFS('Raw Data'!$B$2:$B$251,"&gt;="&amp;A122,'Raw Data'!$B$2:$B$251,"&lt;="&amp;B122)</f>
        <v>16</v>
      </c>
      <c r="E122" s="40" t="n">
        <f aca="false">$G$114</f>
        <v>19214.3614090909</v>
      </c>
      <c r="F122" s="43" t="n">
        <f aca="false">IFERROR(C122/C121-1,"")</f>
        <v>0.58662797903847</v>
      </c>
    </row>
    <row r="123" customFormat="false" ht="15" hidden="false" customHeight="false" outlineLevel="0" collapsed="false">
      <c r="A123" s="45" t="n">
        <f aca="false">EDATE(A122,1)</f>
        <v>45597</v>
      </c>
      <c r="B123" s="46" t="n">
        <f aca="false">EOMONTH(A123,0)</f>
        <v>45626</v>
      </c>
      <c r="C123" s="40" t="n">
        <f aca="false">SUMIFS('Raw Data'!$N$2:$N$251,'Raw Data'!$B$2:$B$251,"&gt;="&amp;A123,'Raw Data'!$B$2:$B$251,"&lt;="&amp;B123)</f>
        <v>12309.44</v>
      </c>
      <c r="D123" s="31" t="n">
        <f aca="false">COUNTIFS('Raw Data'!$B$2:$B$251,"&gt;="&amp;A123,'Raw Data'!$B$2:$B$251,"&lt;="&amp;B123)</f>
        <v>17</v>
      </c>
      <c r="E123" s="40" t="n">
        <f aca="false">$G$114</f>
        <v>19214.3614090909</v>
      </c>
      <c r="F123" s="43" t="n">
        <f aca="false">IFERROR(C123/C122-1,"")</f>
        <v>-0.402730388674748</v>
      </c>
    </row>
    <row r="124" customFormat="false" ht="15" hidden="false" customHeight="false" outlineLevel="0" collapsed="false">
      <c r="A124" s="45" t="n">
        <f aca="false">EDATE(A123,1)</f>
        <v>45627</v>
      </c>
      <c r="B124" s="46" t="n">
        <f aca="false">EOMONTH(A124,0)</f>
        <v>45657</v>
      </c>
      <c r="C124" s="40" t="n">
        <f aca="false">SUMIFS('Raw Data'!$N$2:$N$251,'Raw Data'!$B$2:$B$251,"&gt;="&amp;A124,'Raw Data'!$B$2:$B$251,"&lt;="&amp;B124)</f>
        <v>23039.3</v>
      </c>
      <c r="D124" s="31" t="n">
        <f aca="false">COUNTIFS('Raw Data'!$B$2:$B$251,"&gt;="&amp;A124,'Raw Data'!$B$2:$B$251,"&lt;="&amp;B124)</f>
        <v>25</v>
      </c>
      <c r="E124" s="40" t="n">
        <f aca="false">$G$114</f>
        <v>19214.3614090909</v>
      </c>
      <c r="F124" s="43" t="n">
        <f aca="false">IFERROR(C124/C123-1,"")</f>
        <v>0.871677346816752</v>
      </c>
    </row>
    <row r="125" customFormat="false" ht="15" hidden="false" customHeight="false" outlineLevel="0" collapsed="false">
      <c r="A125" s="45" t="n">
        <f aca="false">EDATE(A124,1)</f>
        <v>45658</v>
      </c>
      <c r="B125" s="46" t="n">
        <f aca="false">EOMONTH(A125,0)</f>
        <v>45688</v>
      </c>
      <c r="C125" s="40" t="n">
        <f aca="false">SUMIFS('Raw Data'!$N$2:$N$251,'Raw Data'!$B$2:$B$251,"&gt;="&amp;A125,'Raw Data'!$B$2:$B$251,"&lt;="&amp;B125)</f>
        <v>25799.15</v>
      </c>
      <c r="D125" s="31" t="n">
        <f aca="false">COUNTIFS('Raw Data'!$B$2:$B$251,"&gt;="&amp;A125,'Raw Data'!$B$2:$B$251,"&lt;="&amp;B125)</f>
        <v>26</v>
      </c>
      <c r="E125" s="40" t="n">
        <f aca="false">$G$114</f>
        <v>19214.3614090909</v>
      </c>
      <c r="F125" s="43" t="n">
        <f aca="false">IFERROR(C125/C124-1,"")</f>
        <v>0.119788795666535</v>
      </c>
    </row>
    <row r="126" customFormat="false" ht="15" hidden="false" customHeight="false" outlineLevel="0" collapsed="false">
      <c r="A126" s="45" t="n">
        <f aca="false">EDATE(A125,1)</f>
        <v>45689</v>
      </c>
      <c r="B126" s="46" t="n">
        <f aca="false">EOMONTH(A126,0)</f>
        <v>45716</v>
      </c>
      <c r="C126" s="40" t="n">
        <f aca="false">SUMIFS('Raw Data'!$N$2:$N$251,'Raw Data'!$B$2:$B$251,"&gt;="&amp;A126,'Raw Data'!$B$2:$B$251,"&lt;="&amp;B126)</f>
        <v>16069.38</v>
      </c>
      <c r="D126" s="31" t="n">
        <f aca="false">COUNTIFS('Raw Data'!$B$2:$B$251,"&gt;="&amp;A126,'Raw Data'!$B$2:$B$251,"&lt;="&amp;B126)</f>
        <v>20</v>
      </c>
      <c r="E126" s="40" t="n">
        <f aca="false">$G$114</f>
        <v>19214.3614090909</v>
      </c>
      <c r="F126" s="43" t="n">
        <f aca="false">IFERROR(C126/C125-1,"")</f>
        <v>-0.377135293217025</v>
      </c>
    </row>
    <row r="127" customFormat="false" ht="15" hidden="false" customHeight="false" outlineLevel="0" collapsed="false">
      <c r="A127" s="45" t="n">
        <f aca="false">EDATE(A126,1)</f>
        <v>45717</v>
      </c>
      <c r="B127" s="46" t="n">
        <f aca="false">EOMONTH(A127,0)</f>
        <v>45747</v>
      </c>
      <c r="C127" s="40" t="n">
        <f aca="false">SUMIFS('Raw Data'!$N$2:$N$251,'Raw Data'!$B$2:$B$251,"&gt;="&amp;A127,'Raw Data'!$B$2:$B$251,"&lt;="&amp;B127)</f>
        <v>19899.38</v>
      </c>
      <c r="D127" s="31" t="n">
        <f aca="false">COUNTIFS('Raw Data'!$B$2:$B$251,"&gt;="&amp;A127,'Raw Data'!$B$2:$B$251,"&lt;="&amp;B127)</f>
        <v>19</v>
      </c>
      <c r="E127" s="40" t="n">
        <f aca="false">$G$114</f>
        <v>19214.3614090909</v>
      </c>
      <c r="F127" s="43" t="n">
        <f aca="false">IFERROR(C127/C126-1,"")</f>
        <v>0.238341491706587</v>
      </c>
    </row>
    <row r="128" customFormat="false" ht="15" hidden="false" customHeight="false" outlineLevel="0" collapsed="false">
      <c r="A128" s="45" t="n">
        <f aca="false">EDATE(A127,1)</f>
        <v>45748</v>
      </c>
      <c r="B128" s="46" t="n">
        <f aca="false">EOMONTH(A128,0)</f>
        <v>45777</v>
      </c>
      <c r="C128" s="40" t="n">
        <f aca="false">SUMIFS('Raw Data'!$N$2:$N$251,'Raw Data'!$B$2:$B$251,"&gt;="&amp;A128,'Raw Data'!$B$2:$B$251,"&lt;="&amp;B128)</f>
        <v>6979.83</v>
      </c>
      <c r="D128" s="31" t="n">
        <f aca="false">COUNTIFS('Raw Data'!$B$2:$B$251,"&gt;="&amp;A128,'Raw Data'!$B$2:$B$251,"&lt;="&amp;B128)</f>
        <v>7</v>
      </c>
      <c r="E128" s="40" t="n">
        <f aca="false">$G$114</f>
        <v>19214.3614090909</v>
      </c>
      <c r="F128" s="43" t="n">
        <f aca="false">IFERROR(C128/C127-1,"")</f>
        <v>-0.64924384578816</v>
      </c>
    </row>
  </sheetData>
  <conditionalFormatting sqref="D14:D63">
    <cfRule type="iconSet" priority="2">
      <iconSet iconSet="3Arrows">
        <cfvo type="percentile" val="0"/>
        <cfvo type="percentile" val="33"/>
        <cfvo type="percentile" val="67"/>
      </iconSet>
    </cfRule>
  </conditionalFormatting>
  <conditionalFormatting sqref="G14:G63">
    <cfRule type="expression" priority="3" aboveAverage="0" equalAverage="0" bottom="0" percent="0" rank="0" text="" dxfId="6">
      <formula>G14="High-Value"</formula>
    </cfRule>
  </conditionalFormatting>
  <conditionalFormatting sqref="E70:E79">
    <cfRule type="dataBar" priority="4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{6C153015-1838-44DB-B5DB-919BCFEBAEA2}</x14:id>
        </ext>
      </extLst>
    </cfRule>
  </conditionalFormatting>
  <conditionalFormatting sqref="F117:F128">
    <cfRule type="iconSet" priority="5">
      <iconSet iconSet="3Arrows">
        <cfvo type="num" val="-1"/>
        <cfvo type="num" val="-0.0001"/>
        <cfvo type="num" val="0.0001"/>
      </iconSet>
    </cfRule>
  </conditionalFormatting>
  <conditionalFormatting sqref="C116:C128">
    <cfRule type="expression" priority="6" aboveAverage="0" equalAverage="0" bottom="0" percent="0" rank="0" text="" dxfId="7">
      <formula>C116&gt;=E116</formula>
    </cfRule>
    <cfRule type="expression" priority="7" aboveAverage="0" equalAverage="0" bottom="0" percent="0" rank="0" text="" dxfId="8">
      <formula>C116&lt;E116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153015-1838-44DB-B5DB-919BCFEBAEA2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E70:E79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34" t="s">
        <v>511</v>
      </c>
    </row>
    <row r="2" customFormat="false" ht="15" hidden="false" customHeight="false" outlineLevel="0" collapsed="false">
      <c r="A2" s="39" t="s">
        <v>512</v>
      </c>
      <c r="B2" s="47" t="s">
        <v>113</v>
      </c>
      <c r="H2" s="19" t="s">
        <v>513</v>
      </c>
    </row>
    <row r="3" customFormat="false" ht="15" hidden="false" customHeight="false" outlineLevel="0" collapsed="false">
      <c r="A3" s="39" t="s">
        <v>514</v>
      </c>
      <c r="B3" s="31" t="n">
        <f aca="false">COUNTIF('Raw Data'!$K$2:$K$251,B2)</f>
        <v>47</v>
      </c>
    </row>
    <row r="4" customFormat="false" ht="15" hidden="false" customHeight="false" outlineLevel="0" collapsed="false">
      <c r="A4" s="39" t="s">
        <v>515</v>
      </c>
      <c r="B4" s="40" t="n">
        <f aca="false">SUMIFS('Raw Data'!$N$2:$N$251,'Raw Data'!$K$2:$K$251,B2)</f>
        <v>41408.68</v>
      </c>
    </row>
    <row r="6" customFormat="false" ht="15" hidden="false" customHeight="false" outlineLevel="0" collapsed="false">
      <c r="A6" s="30" t="s">
        <v>516</v>
      </c>
      <c r="B6" s="30" t="s">
        <v>517</v>
      </c>
      <c r="C6" s="30" t="s">
        <v>10</v>
      </c>
      <c r="D6" s="30" t="s">
        <v>473</v>
      </c>
      <c r="E6" s="30" t="s">
        <v>491</v>
      </c>
      <c r="F6" s="30" t="s">
        <v>518</v>
      </c>
    </row>
    <row r="7" customFormat="false" ht="15" hidden="false" customHeight="false" outlineLevel="0" collapsed="false">
      <c r="A7" s="31" t="n">
        <v>1</v>
      </c>
      <c r="B7" s="31" t="str">
        <f aca="false">IFERROR(INDEX('Raw Data'!$A$2:$A$251,MATCH($A7,'Raw Data'!$Q$2:$Q$251,0)),"")</f>
        <v>TRX0092</v>
      </c>
      <c r="C7" s="36" t="n">
        <f aca="false">IFERROR(INDEX('Raw Data'!$B$2:$B$251,MATCH($A7,'Raw Data'!$Q$2:$Q$251,0)),"")</f>
        <v>45403</v>
      </c>
      <c r="D7" s="31" t="str">
        <f aca="false">IFERROR(INDEX('Raw Data'!$D$2:$D$251,MATCH($A7,'Raw Data'!$Q$2:$Q$251,0)),"")</f>
        <v>Dorothy Nelson</v>
      </c>
      <c r="E7" s="31" t="str">
        <f aca="false">IFERROR(INDEX('Raw Data'!$F$2:$F$251,MATCH($A7,'Raw Data'!$Q$2:$Q$251,0)),"")</f>
        <v>Blender</v>
      </c>
      <c r="F7" s="48" t="n">
        <f aca="false">IFERROR(INDEX('Raw Data'!$N$2:$N$251,MATCH($A7,'Raw Data'!$Q$2:$Q$251,0)),"")</f>
        <v>119.98</v>
      </c>
    </row>
    <row r="8" customFormat="false" ht="15" hidden="false" customHeight="false" outlineLevel="0" collapsed="false">
      <c r="A8" s="31" t="n">
        <v>2</v>
      </c>
      <c r="B8" s="31" t="str">
        <f aca="false">IFERROR(INDEX('Raw Data'!$A$2:$A$251,MATCH($A8,'Raw Data'!$Q$2:$Q$251,0)),"")</f>
        <v>TRX0185</v>
      </c>
      <c r="C8" s="36" t="n">
        <f aca="false">IFERROR(INDEX('Raw Data'!$B$2:$B$251,MATCH($A8,'Raw Data'!$Q$2:$Q$251,0)),"")</f>
        <v>45408</v>
      </c>
      <c r="D8" s="31" t="str">
        <f aca="false">IFERROR(INDEX('Raw Data'!$D$2:$D$251,MATCH($A8,'Raw Data'!$Q$2:$Q$251,0)),"")</f>
        <v>Karen Hill</v>
      </c>
      <c r="E8" s="31" t="str">
        <f aca="false">IFERROR(INDEX('Raw Data'!$F$2:$F$251,MATCH($A8,'Raw Data'!$Q$2:$Q$251,0)),"")</f>
        <v>Blender</v>
      </c>
      <c r="F8" s="48" t="n">
        <f aca="false">IFERROR(INDEX('Raw Data'!$N$2:$N$251,MATCH($A8,'Raw Data'!$Q$2:$Q$251,0)),"")</f>
        <v>179.97</v>
      </c>
    </row>
    <row r="9" customFormat="false" ht="15" hidden="false" customHeight="false" outlineLevel="0" collapsed="false">
      <c r="A9" s="31" t="n">
        <v>3</v>
      </c>
      <c r="B9" s="31" t="str">
        <f aca="false">IFERROR(INDEX('Raw Data'!$A$2:$A$251,MATCH($A9,'Raw Data'!$Q$2:$Q$251,0)),"")</f>
        <v>TRX0138</v>
      </c>
      <c r="C9" s="36" t="n">
        <f aca="false">IFERROR(INDEX('Raw Data'!$B$2:$B$251,MATCH($A9,'Raw Data'!$Q$2:$Q$251,0)),"")</f>
        <v>45408</v>
      </c>
      <c r="D9" s="31" t="str">
        <f aca="false">IFERROR(INDEX('Raw Data'!$D$2:$D$251,MATCH($A9,'Raw Data'!$Q$2:$Q$251,0)),"")</f>
        <v>Susan Green</v>
      </c>
      <c r="E9" s="31" t="str">
        <f aca="false">IFERROR(INDEX('Raw Data'!$F$2:$F$251,MATCH($A9,'Raw Data'!$Q$2:$Q$251,0)),"")</f>
        <v>Bookshelf</v>
      </c>
      <c r="F9" s="48" t="n">
        <f aca="false">IFERROR(INDEX('Raw Data'!$N$2:$N$251,MATCH($A9,'Raw Data'!$Q$2:$Q$251,0)),"")</f>
        <v>149.99</v>
      </c>
    </row>
    <row r="10" customFormat="false" ht="15" hidden="false" customHeight="false" outlineLevel="0" collapsed="false">
      <c r="A10" s="31" t="n">
        <v>4</v>
      </c>
      <c r="B10" s="31" t="str">
        <f aca="false">IFERROR(INDEX('Raw Data'!$A$2:$A$251,MATCH($A10,'Raw Data'!$Q$2:$Q$251,0)),"")</f>
        <v>TRX0191</v>
      </c>
      <c r="C10" s="36" t="n">
        <f aca="false">IFERROR(INDEX('Raw Data'!$B$2:$B$251,MATCH($A10,'Raw Data'!$Q$2:$Q$251,0)),"")</f>
        <v>45409</v>
      </c>
      <c r="D10" s="31" t="str">
        <f aca="false">IFERROR(INDEX('Raw Data'!$D$2:$D$251,MATCH($A10,'Raw Data'!$Q$2:$Q$251,0)),"")</f>
        <v>Michelle Rogers</v>
      </c>
      <c r="E10" s="31" t="str">
        <f aca="false">IFERROR(INDEX('Raw Data'!$F$2:$F$251,MATCH($A10,'Raw Data'!$Q$2:$Q$251,0)),"")</f>
        <v>Smartphone</v>
      </c>
      <c r="F10" s="48" t="n">
        <f aca="false">IFERROR(INDEX('Raw Data'!$N$2:$N$251,MATCH($A10,'Raw Data'!$Q$2:$Q$251,0)),"")</f>
        <v>2099.97</v>
      </c>
    </row>
    <row r="11" customFormat="false" ht="15" hidden="false" customHeight="false" outlineLevel="0" collapsed="false">
      <c r="A11" s="31" t="n">
        <v>5</v>
      </c>
      <c r="B11" s="31" t="str">
        <f aca="false">IFERROR(INDEX('Raw Data'!$A$2:$A$251,MATCH($A11,'Raw Data'!$Q$2:$Q$251,0)),"")</f>
        <v>TRX0122</v>
      </c>
      <c r="C11" s="36" t="n">
        <f aca="false">IFERROR(INDEX('Raw Data'!$B$2:$B$251,MATCH($A11,'Raw Data'!$Q$2:$Q$251,0)),"")</f>
        <v>45410</v>
      </c>
      <c r="D11" s="31" t="str">
        <f aca="false">IFERROR(INDEX('Raw Data'!$D$2:$D$251,MATCH($A11,'Raw Data'!$Q$2:$Q$251,0)),"")</f>
        <v>Mark Carter</v>
      </c>
      <c r="E11" s="31" t="str">
        <f aca="false">IFERROR(INDEX('Raw Data'!$F$2:$F$251,MATCH($A11,'Raw Data'!$Q$2:$Q$251,0)),"")</f>
        <v>Laptop</v>
      </c>
      <c r="F11" s="48" t="n">
        <f aca="false">IFERROR(INDEX('Raw Data'!$N$2:$N$251,MATCH($A11,'Raw Data'!$Q$2:$Q$251,0)),"")</f>
        <v>3599.96</v>
      </c>
    </row>
    <row r="12" customFormat="false" ht="15" hidden="false" customHeight="false" outlineLevel="0" collapsed="false">
      <c r="A12" s="31" t="n">
        <v>6</v>
      </c>
      <c r="B12" s="31" t="str">
        <f aca="false">IFERROR(INDEX('Raw Data'!$A$2:$A$251,MATCH($A12,'Raw Data'!$Q$2:$Q$251,0)),"")</f>
        <v>TRX0231</v>
      </c>
      <c r="C12" s="36" t="n">
        <f aca="false">IFERROR(INDEX('Raw Data'!$B$2:$B$251,MATCH($A12,'Raw Data'!$Q$2:$Q$251,0)),"")</f>
        <v>45412</v>
      </c>
      <c r="D12" s="31" t="str">
        <f aca="false">IFERROR(INDEX('Raw Data'!$D$2:$D$251,MATCH($A12,'Raw Data'!$Q$2:$Q$251,0)),"")</f>
        <v>Barbara Young</v>
      </c>
      <c r="E12" s="31" t="str">
        <f aca="false">IFERROR(INDEX('Raw Data'!$F$2:$F$251,MATCH($A12,'Raw Data'!$Q$2:$Q$251,0)),"")</f>
        <v>Smartphone</v>
      </c>
      <c r="F12" s="48" t="n">
        <f aca="false">IFERROR(INDEX('Raw Data'!$N$2:$N$251,MATCH($A12,'Raw Data'!$Q$2:$Q$251,0)),"")</f>
        <v>3499.95</v>
      </c>
    </row>
    <row r="13" customFormat="false" ht="15" hidden="false" customHeight="false" outlineLevel="0" collapsed="false">
      <c r="A13" s="31" t="n">
        <v>7</v>
      </c>
      <c r="B13" s="31" t="str">
        <f aca="false">IFERROR(INDEX('Raw Data'!$A$2:$A$251,MATCH($A13,'Raw Data'!$Q$2:$Q$251,0)),"")</f>
        <v>TRX0242</v>
      </c>
      <c r="C13" s="36" t="n">
        <f aca="false">IFERROR(INDEX('Raw Data'!$B$2:$B$251,MATCH($A13,'Raw Data'!$Q$2:$Q$251,0)),"")</f>
        <v>45416</v>
      </c>
      <c r="D13" s="31" t="str">
        <f aca="false">IFERROR(INDEX('Raw Data'!$D$2:$D$251,MATCH($A13,'Raw Data'!$Q$2:$Q$251,0)),"")</f>
        <v>Mark Carter</v>
      </c>
      <c r="E13" s="31" t="str">
        <f aca="false">IFERROR(INDEX('Raw Data'!$F$2:$F$251,MATCH($A13,'Raw Data'!$Q$2:$Q$251,0)),"")</f>
        <v>Desk</v>
      </c>
      <c r="F13" s="48" t="n">
        <f aca="false">IFERROR(INDEX('Raw Data'!$N$2:$N$251,MATCH($A13,'Raw Data'!$Q$2:$Q$251,0)),"")</f>
        <v>1199.96</v>
      </c>
    </row>
    <row r="14" customFormat="false" ht="15" hidden="false" customHeight="false" outlineLevel="0" collapsed="false">
      <c r="A14" s="31" t="n">
        <v>8</v>
      </c>
      <c r="B14" s="31" t="str">
        <f aca="false">IFERROR(INDEX('Raw Data'!$A$2:$A$251,MATCH($A14,'Raw Data'!$Q$2:$Q$251,0)),"")</f>
        <v>TRX0071</v>
      </c>
      <c r="C14" s="36" t="n">
        <f aca="false">IFERROR(INDEX('Raw Data'!$B$2:$B$251,MATCH($A14,'Raw Data'!$Q$2:$Q$251,0)),"")</f>
        <v>45422</v>
      </c>
      <c r="D14" s="31" t="str">
        <f aca="false">IFERROR(INDEX('Raw Data'!$D$2:$D$251,MATCH($A14,'Raw Data'!$Q$2:$Q$251,0)),"")</f>
        <v>Nancy Collins</v>
      </c>
      <c r="E14" s="31" t="str">
        <f aca="false">IFERROR(INDEX('Raw Data'!$F$2:$F$251,MATCH($A14,'Raw Data'!$Q$2:$Q$251,0)),"")</f>
        <v>Monitor</v>
      </c>
      <c r="F14" s="48" t="n">
        <f aca="false">IFERROR(INDEX('Raw Data'!$N$2:$N$251,MATCH($A14,'Raw Data'!$Q$2:$Q$251,0)),"")</f>
        <v>1249.95</v>
      </c>
    </row>
    <row r="15" customFormat="false" ht="15" hidden="false" customHeight="false" outlineLevel="0" collapsed="false">
      <c r="A15" s="31" t="n">
        <v>9</v>
      </c>
      <c r="B15" s="31" t="str">
        <f aca="false">IFERROR(INDEX('Raw Data'!$A$2:$A$251,MATCH($A15,'Raw Data'!$Q$2:$Q$251,0)),"")</f>
        <v>TRX0194</v>
      </c>
      <c r="C15" s="36" t="n">
        <f aca="false">IFERROR(INDEX('Raw Data'!$B$2:$B$251,MATCH($A15,'Raw Data'!$Q$2:$Q$251,0)),"")</f>
        <v>45428</v>
      </c>
      <c r="D15" s="31" t="str">
        <f aca="false">IFERROR(INDEX('Raw Data'!$D$2:$D$251,MATCH($A15,'Raw Data'!$Q$2:$Q$251,0)),"")</f>
        <v>Lisa Anderson</v>
      </c>
      <c r="E15" s="31" t="str">
        <f aca="false">IFERROR(INDEX('Raw Data'!$F$2:$F$251,MATCH($A15,'Raw Data'!$Q$2:$Q$251,0)),"")</f>
        <v>Bookshelf</v>
      </c>
      <c r="F15" s="48" t="n">
        <f aca="false">IFERROR(INDEX('Raw Data'!$N$2:$N$251,MATCH($A15,'Raw Data'!$Q$2:$Q$251,0)),"")</f>
        <v>299.98</v>
      </c>
    </row>
    <row r="16" customFormat="false" ht="15" hidden="false" customHeight="false" outlineLevel="0" collapsed="false">
      <c r="A16" s="31" t="n">
        <v>10</v>
      </c>
      <c r="B16" s="31" t="str">
        <f aca="false">IFERROR(INDEX('Raw Data'!$A$2:$A$251,MATCH($A16,'Raw Data'!$Q$2:$Q$251,0)),"")</f>
        <v>TRX0130</v>
      </c>
      <c r="C16" s="36" t="n">
        <f aca="false">IFERROR(INDEX('Raw Data'!$B$2:$B$251,MATCH($A16,'Raw Data'!$Q$2:$Q$251,0)),"")</f>
        <v>45430</v>
      </c>
      <c r="D16" s="31" t="str">
        <f aca="false">IFERROR(INDEX('Raw Data'!$D$2:$D$251,MATCH($A16,'Raw Data'!$Q$2:$Q$251,0)),"")</f>
        <v>Emma Wilson</v>
      </c>
      <c r="E16" s="31" t="str">
        <f aca="false">IFERROR(INDEX('Raw Data'!$F$2:$F$251,MATCH($A16,'Raw Data'!$Q$2:$Q$251,0)),"")</f>
        <v>Bookshelf</v>
      </c>
      <c r="F16" s="48" t="n">
        <f aca="false">IFERROR(INDEX('Raw Data'!$N$2:$N$251,MATCH($A16,'Raw Data'!$Q$2:$Q$251,0)),"")</f>
        <v>449.97</v>
      </c>
    </row>
    <row r="17" customFormat="false" ht="15" hidden="false" customHeight="false" outlineLevel="0" collapsed="false">
      <c r="A17" s="31" t="n">
        <v>11</v>
      </c>
      <c r="B17" s="31" t="str">
        <f aca="false">IFERROR(INDEX('Raw Data'!$A$2:$A$251,MATCH($A17,'Raw Data'!$Q$2:$Q$251,0)),"")</f>
        <v>TRX0041</v>
      </c>
      <c r="C17" s="36" t="n">
        <f aca="false">IFERROR(INDEX('Raw Data'!$B$2:$B$251,MATCH($A17,'Raw Data'!$Q$2:$Q$251,0)),"")</f>
        <v>45432</v>
      </c>
      <c r="D17" s="31" t="str">
        <f aca="false">IFERROR(INDEX('Raw Data'!$D$2:$D$251,MATCH($A17,'Raw Data'!$Q$2:$Q$251,0)),"")</f>
        <v>Kevin Scott</v>
      </c>
      <c r="E17" s="31" t="str">
        <f aca="false">IFERROR(INDEX('Raw Data'!$F$2:$F$251,MATCH($A17,'Raw Data'!$Q$2:$Q$251,0)),"")</f>
        <v>Laptop</v>
      </c>
      <c r="F17" s="48" t="n">
        <f aca="false">IFERROR(INDEX('Raw Data'!$N$2:$N$251,MATCH($A17,'Raw Data'!$Q$2:$Q$251,0)),"")</f>
        <v>899.99</v>
      </c>
    </row>
    <row r="18" customFormat="false" ht="15" hidden="false" customHeight="false" outlineLevel="0" collapsed="false">
      <c r="A18" s="31" t="n">
        <v>12</v>
      </c>
      <c r="B18" s="31" t="str">
        <f aca="false">IFERROR(INDEX('Raw Data'!$A$2:$A$251,MATCH($A18,'Raw Data'!$Q$2:$Q$251,0)),"")</f>
        <v>TRX0015</v>
      </c>
      <c r="C18" s="36" t="n">
        <f aca="false">IFERROR(INDEX('Raw Data'!$B$2:$B$251,MATCH($A18,'Raw Data'!$Q$2:$Q$251,0)),"")</f>
        <v>45440</v>
      </c>
      <c r="D18" s="31" t="str">
        <f aca="false">IFERROR(INDEX('Raw Data'!$D$2:$D$251,MATCH($A18,'Raw Data'!$Q$2:$Q$251,0)),"")</f>
        <v>Jennifer Taylor</v>
      </c>
      <c r="E18" s="31" t="str">
        <f aca="false">IFERROR(INDEX('Raw Data'!$F$2:$F$251,MATCH($A18,'Raw Data'!$Q$2:$Q$251,0)),"")</f>
        <v>Smartphone</v>
      </c>
      <c r="F18" s="48" t="n">
        <f aca="false">IFERROR(INDEX('Raw Data'!$N$2:$N$251,MATCH($A18,'Raw Data'!$Q$2:$Q$251,0)),"")</f>
        <v>3499.95</v>
      </c>
    </row>
    <row r="19" customFormat="false" ht="15" hidden="false" customHeight="false" outlineLevel="0" collapsed="false">
      <c r="A19" s="31" t="n">
        <v>13</v>
      </c>
      <c r="B19" s="31" t="str">
        <f aca="false">IFERROR(INDEX('Raw Data'!$A$2:$A$251,MATCH($A19,'Raw Data'!$Q$2:$Q$251,0)),"")</f>
        <v>TRX0128</v>
      </c>
      <c r="C19" s="36" t="n">
        <f aca="false">IFERROR(INDEX('Raw Data'!$B$2:$B$251,MATCH($A19,'Raw Data'!$Q$2:$Q$251,0)),"")</f>
        <v>45444</v>
      </c>
      <c r="D19" s="31" t="str">
        <f aca="false">IFERROR(INDEX('Raw Data'!$D$2:$D$251,MATCH($A19,'Raw Data'!$Q$2:$Q$251,0)),"")</f>
        <v>Sharon Butler</v>
      </c>
      <c r="E19" s="31" t="str">
        <f aca="false">IFERROR(INDEX('Raw Data'!$F$2:$F$251,MATCH($A19,'Raw Data'!$Q$2:$Q$251,0)),"")</f>
        <v>Blender</v>
      </c>
      <c r="F19" s="48" t="n">
        <f aca="false">IFERROR(INDEX('Raw Data'!$N$2:$N$251,MATCH($A19,'Raw Data'!$Q$2:$Q$251,0)),"")</f>
        <v>119.98</v>
      </c>
    </row>
    <row r="20" customFormat="false" ht="15" hidden="false" customHeight="false" outlineLevel="0" collapsed="false">
      <c r="A20" s="31" t="n">
        <v>14</v>
      </c>
      <c r="B20" s="31" t="str">
        <f aca="false">IFERROR(INDEX('Raw Data'!$A$2:$A$251,MATCH($A20,'Raw Data'!$Q$2:$Q$251,0)),"")</f>
        <v>TRX0061</v>
      </c>
      <c r="C20" s="36" t="n">
        <f aca="false">IFERROR(INDEX('Raw Data'!$B$2:$B$251,MATCH($A20,'Raw Data'!$Q$2:$Q$251,0)),"")</f>
        <v>45460</v>
      </c>
      <c r="D20" s="31" t="str">
        <f aca="false">IFERROR(INDEX('Raw Data'!$D$2:$D$251,MATCH($A20,'Raw Data'!$Q$2:$Q$251,0)),"")</f>
        <v>Betty Campbell</v>
      </c>
      <c r="E20" s="31" t="str">
        <f aca="false">IFERROR(INDEX('Raw Data'!$F$2:$F$251,MATCH($A20,'Raw Data'!$Q$2:$Q$251,0)),"")</f>
        <v>Blender</v>
      </c>
      <c r="F20" s="48" t="n">
        <f aca="false">IFERROR(INDEX('Raw Data'!$N$2:$N$251,MATCH($A20,'Raw Data'!$Q$2:$Q$251,0)),"")</f>
        <v>59.99</v>
      </c>
    </row>
    <row r="21" customFormat="false" ht="15" hidden="false" customHeight="false" outlineLevel="0" collapsed="false">
      <c r="A21" s="31" t="n">
        <v>15</v>
      </c>
      <c r="B21" s="31" t="str">
        <f aca="false">IFERROR(INDEX('Raw Data'!$A$2:$A$251,MATCH($A21,'Raw Data'!$Q$2:$Q$251,0)),"")</f>
        <v>TRX0007</v>
      </c>
      <c r="C21" s="36" t="n">
        <f aca="false">IFERROR(INDEX('Raw Data'!$B$2:$B$251,MATCH($A21,'Raw Data'!$Q$2:$Q$251,0)),"")</f>
        <v>45469</v>
      </c>
      <c r="D21" s="31" t="str">
        <f aca="false">IFERROR(INDEX('Raw Data'!$D$2:$D$251,MATCH($A21,'Raw Data'!$Q$2:$Q$251,0)),"")</f>
        <v>Robert Thomas</v>
      </c>
      <c r="E21" s="31" t="str">
        <f aca="false">IFERROR(INDEX('Raw Data'!$F$2:$F$251,MATCH($A21,'Raw Data'!$Q$2:$Q$251,0)),"")</f>
        <v>Keyboard</v>
      </c>
      <c r="F21" s="48" t="n">
        <f aca="false">IFERROR(INDEX('Raw Data'!$N$2:$N$251,MATCH($A21,'Raw Data'!$Q$2:$Q$251,0)),"")</f>
        <v>179.98</v>
      </c>
    </row>
    <row r="22" customFormat="false" ht="15" hidden="false" customHeight="false" outlineLevel="0" collapsed="false">
      <c r="A22" s="31" t="n">
        <v>16</v>
      </c>
      <c r="B22" s="31" t="str">
        <f aca="false">IFERROR(INDEX('Raw Data'!$A$2:$A$251,MATCH($A22,'Raw Data'!$Q$2:$Q$251,0)),"")</f>
        <v>TRX0192</v>
      </c>
      <c r="C22" s="36" t="n">
        <f aca="false">IFERROR(INDEX('Raw Data'!$B$2:$B$251,MATCH($A22,'Raw Data'!$Q$2:$Q$251,0)),"")</f>
        <v>45475</v>
      </c>
      <c r="D22" s="31" t="str">
        <f aca="false">IFERROR(INDEX('Raw Data'!$D$2:$D$251,MATCH($A22,'Raw Data'!$Q$2:$Q$251,0)),"")</f>
        <v>Charles Allen</v>
      </c>
      <c r="E22" s="31" t="str">
        <f aca="false">IFERROR(INDEX('Raw Data'!$F$2:$F$251,MATCH($A22,'Raw Data'!$Q$2:$Q$251,0)),"")</f>
        <v>Keyboard</v>
      </c>
      <c r="F22" s="48" t="n">
        <f aca="false">IFERROR(INDEX('Raw Data'!$N$2:$N$251,MATCH($A22,'Raw Data'!$Q$2:$Q$251,0)),"")</f>
        <v>89.99</v>
      </c>
    </row>
    <row r="23" customFormat="false" ht="15" hidden="false" customHeight="false" outlineLevel="0" collapsed="false">
      <c r="A23" s="31" t="n">
        <v>17</v>
      </c>
      <c r="B23" s="31" t="str">
        <f aca="false">IFERROR(INDEX('Raw Data'!$A$2:$A$251,MATCH($A23,'Raw Data'!$Q$2:$Q$251,0)),"")</f>
        <v>TRX0169</v>
      </c>
      <c r="C23" s="36" t="n">
        <f aca="false">IFERROR(INDEX('Raw Data'!$B$2:$B$251,MATCH($A23,'Raw Data'!$Q$2:$Q$251,0)),"")</f>
        <v>45490</v>
      </c>
      <c r="D23" s="31" t="str">
        <f aca="false">IFERROR(INDEX('Raw Data'!$D$2:$D$251,MATCH($A23,'Raw Data'!$Q$2:$Q$251,0)),"")</f>
        <v>Gerald Murphy</v>
      </c>
      <c r="E23" s="31" t="str">
        <f aca="false">IFERROR(INDEX('Raw Data'!$F$2:$F$251,MATCH($A23,'Raw Data'!$Q$2:$Q$251,0)),"")</f>
        <v>Blender</v>
      </c>
      <c r="F23" s="48" t="n">
        <f aca="false">IFERROR(INDEX('Raw Data'!$N$2:$N$251,MATCH($A23,'Raw Data'!$Q$2:$Q$251,0)),"")</f>
        <v>179.97</v>
      </c>
    </row>
    <row r="24" customFormat="false" ht="15" hidden="false" customHeight="false" outlineLevel="0" collapsed="false">
      <c r="A24" s="31" t="n">
        <v>18</v>
      </c>
      <c r="B24" s="31" t="str">
        <f aca="false">IFERROR(INDEX('Raw Data'!$A$2:$A$251,MATCH($A24,'Raw Data'!$Q$2:$Q$251,0)),"")</f>
        <v>TRX0065</v>
      </c>
      <c r="C24" s="36" t="n">
        <f aca="false">IFERROR(INDEX('Raw Data'!$B$2:$B$251,MATCH($A24,'Raw Data'!$Q$2:$Q$251,0)),"")</f>
        <v>45509</v>
      </c>
      <c r="D24" s="31" t="str">
        <f aca="false">IFERROR(INDEX('Raw Data'!$D$2:$D$251,MATCH($A24,'Raw Data'!$Q$2:$Q$251,0)),"")</f>
        <v>Elizabeth Hall</v>
      </c>
      <c r="E24" s="31" t="str">
        <f aca="false">IFERROR(INDEX('Raw Data'!$F$2:$F$251,MATCH($A24,'Raw Data'!$Q$2:$Q$251,0)),"")</f>
        <v>Bookshelf</v>
      </c>
      <c r="F24" s="48" t="n">
        <f aca="false">IFERROR(INDEX('Raw Data'!$N$2:$N$251,MATCH($A24,'Raw Data'!$Q$2:$Q$251,0)),"")</f>
        <v>299.98</v>
      </c>
    </row>
    <row r="25" customFormat="false" ht="15" hidden="false" customHeight="false" outlineLevel="0" collapsed="false">
      <c r="A25" s="31" t="n">
        <v>19</v>
      </c>
      <c r="B25" s="31" t="str">
        <f aca="false">IFERROR(INDEX('Raw Data'!$A$2:$A$251,MATCH($A25,'Raw Data'!$Q$2:$Q$251,0)),"")</f>
        <v>TRX0170</v>
      </c>
      <c r="C25" s="36" t="n">
        <f aca="false">IFERROR(INDEX('Raw Data'!$B$2:$B$251,MATCH($A25,'Raw Data'!$Q$2:$Q$251,0)),"")</f>
        <v>45532</v>
      </c>
      <c r="D25" s="31" t="str">
        <f aca="false">IFERROR(INDEX('Raw Data'!$D$2:$D$251,MATCH($A25,'Raw Data'!$Q$2:$Q$251,0)),"")</f>
        <v>Carol Evans</v>
      </c>
      <c r="E25" s="31" t="str">
        <f aca="false">IFERROR(INDEX('Raw Data'!$F$2:$F$251,MATCH($A25,'Raw Data'!$Q$2:$Q$251,0)),"")</f>
        <v>Headphones</v>
      </c>
      <c r="F25" s="48" t="n">
        <f aca="false">IFERROR(INDEX('Raw Data'!$N$2:$N$251,MATCH($A25,'Raw Data'!$Q$2:$Q$251,0)),"")</f>
        <v>449.97</v>
      </c>
    </row>
    <row r="26" customFormat="false" ht="15" hidden="false" customHeight="false" outlineLevel="0" collapsed="false">
      <c r="A26" s="31" t="n">
        <v>20</v>
      </c>
      <c r="B26" s="31" t="str">
        <f aca="false">IFERROR(INDEX('Raw Data'!$A$2:$A$251,MATCH($A26,'Raw Data'!$Q$2:$Q$251,0)),"")</f>
        <v>TRX0099</v>
      </c>
      <c r="C26" s="36" t="n">
        <f aca="false">IFERROR(INDEX('Raw Data'!$B$2:$B$251,MATCH($A26,'Raw Data'!$Q$2:$Q$251,0)),"")</f>
        <v>45537</v>
      </c>
      <c r="D26" s="31" t="str">
        <f aca="false">IFERROR(INDEX('Raw Data'!$D$2:$D$251,MATCH($A26,'Raw Data'!$Q$2:$Q$251,0)),"")</f>
        <v>Carol Evans</v>
      </c>
      <c r="E26" s="31" t="str">
        <f aca="false">IFERROR(INDEX('Raw Data'!$F$2:$F$251,MATCH($A26,'Raw Data'!$Q$2:$Q$251,0)),"")</f>
        <v>Monitor</v>
      </c>
      <c r="F26" s="48" t="n">
        <f aca="false">IFERROR(INDEX('Raw Data'!$N$2:$N$251,MATCH($A26,'Raw Data'!$Q$2:$Q$251,0)),"")</f>
        <v>249.99</v>
      </c>
    </row>
    <row r="27" customFormat="false" ht="15" hidden="false" customHeight="false" outlineLevel="0" collapsed="false">
      <c r="A27" s="31" t="n">
        <v>21</v>
      </c>
      <c r="B27" s="31" t="str">
        <f aca="false">IFERROR(INDEX('Raw Data'!$A$2:$A$251,MATCH($A27,'Raw Data'!$Q$2:$Q$251,0)),"")</f>
        <v>TRX0161</v>
      </c>
      <c r="C27" s="36" t="n">
        <f aca="false">IFERROR(INDEX('Raw Data'!$B$2:$B$251,MATCH($A27,'Raw Data'!$Q$2:$Q$251,0)),"")</f>
        <v>45545</v>
      </c>
      <c r="D27" s="31" t="str">
        <f aca="false">IFERROR(INDEX('Raw Data'!$D$2:$D$251,MATCH($A27,'Raw Data'!$Q$2:$Q$251,0)),"")</f>
        <v>Charles Allen</v>
      </c>
      <c r="E27" s="31" t="str">
        <f aca="false">IFERROR(INDEX('Raw Data'!$F$2:$F$251,MATCH($A27,'Raw Data'!$Q$2:$Q$251,0)),"")</f>
        <v>Coffee Maker</v>
      </c>
      <c r="F27" s="48" t="n">
        <f aca="false">IFERROR(INDEX('Raw Data'!$N$2:$N$251,MATCH($A27,'Raw Data'!$Q$2:$Q$251,0)),"")</f>
        <v>79.99</v>
      </c>
    </row>
    <row r="28" customFormat="false" ht="15" hidden="false" customHeight="false" outlineLevel="0" collapsed="false">
      <c r="A28" s="31" t="n">
        <v>22</v>
      </c>
      <c r="B28" s="31" t="str">
        <f aca="false">IFERROR(INDEX('Raw Data'!$A$2:$A$251,MATCH($A28,'Raw Data'!$Q$2:$Q$251,0)),"")</f>
        <v>TRX0158</v>
      </c>
      <c r="C28" s="36" t="n">
        <f aca="false">IFERROR(INDEX('Raw Data'!$B$2:$B$251,MATCH($A28,'Raw Data'!$Q$2:$Q$251,0)),"")</f>
        <v>45579</v>
      </c>
      <c r="D28" s="31" t="str">
        <f aca="false">IFERROR(INDEX('Raw Data'!$D$2:$D$251,MATCH($A28,'Raw Data'!$Q$2:$Q$251,0)),"")</f>
        <v>George Adams</v>
      </c>
      <c r="E28" s="31" t="str">
        <f aca="false">IFERROR(INDEX('Raw Data'!$F$2:$F$251,MATCH($A28,'Raw Data'!$Q$2:$Q$251,0)),"")</f>
        <v>Laptop</v>
      </c>
      <c r="F28" s="48" t="n">
        <f aca="false">IFERROR(INDEX('Raw Data'!$N$2:$N$251,MATCH($A28,'Raw Data'!$Q$2:$Q$251,0)),"")</f>
        <v>2699.97</v>
      </c>
    </row>
    <row r="29" customFormat="false" ht="15" hidden="false" customHeight="false" outlineLevel="0" collapsed="false">
      <c r="A29" s="31" t="n">
        <v>23</v>
      </c>
      <c r="B29" s="31" t="str">
        <f aca="false">IFERROR(INDEX('Raw Data'!$A$2:$A$251,MATCH($A29,'Raw Data'!$Q$2:$Q$251,0)),"")</f>
        <v>TRX0190</v>
      </c>
      <c r="C29" s="36" t="n">
        <f aca="false">IFERROR(INDEX('Raw Data'!$B$2:$B$251,MATCH($A29,'Raw Data'!$Q$2:$Q$251,0)),"")</f>
        <v>45583</v>
      </c>
      <c r="D29" s="31" t="str">
        <f aca="false">IFERROR(INDEX('Raw Data'!$D$2:$D$251,MATCH($A29,'Raw Data'!$Q$2:$Q$251,0)),"")</f>
        <v>Lawrence Reed</v>
      </c>
      <c r="E29" s="31" t="str">
        <f aca="false">IFERROR(INDEX('Raw Data'!$F$2:$F$251,MATCH($A29,'Raw Data'!$Q$2:$Q$251,0)),"")</f>
        <v>Headphones</v>
      </c>
      <c r="F29" s="48" t="n">
        <f aca="false">IFERROR(INDEX('Raw Data'!$N$2:$N$251,MATCH($A29,'Raw Data'!$Q$2:$Q$251,0)),"")</f>
        <v>299.98</v>
      </c>
    </row>
    <row r="30" customFormat="false" ht="15" hidden="false" customHeight="false" outlineLevel="0" collapsed="false">
      <c r="A30" s="31" t="n">
        <v>24</v>
      </c>
      <c r="B30" s="31" t="str">
        <f aca="false">IFERROR(INDEX('Raw Data'!$A$2:$A$251,MATCH($A30,'Raw Data'!$Q$2:$Q$251,0)),"")</f>
        <v>TRX0109</v>
      </c>
      <c r="C30" s="36" t="n">
        <f aca="false">IFERROR(INDEX('Raw Data'!$B$2:$B$251,MATCH($A30,'Raw Data'!$Q$2:$Q$251,0)),"")</f>
        <v>45604</v>
      </c>
      <c r="D30" s="31" t="str">
        <f aca="false">IFERROR(INDEX('Raw Data'!$D$2:$D$251,MATCH($A30,'Raw Data'!$Q$2:$Q$251,0)),"")</f>
        <v>Maria Garcia</v>
      </c>
      <c r="E30" s="31" t="str">
        <f aca="false">IFERROR(INDEX('Raw Data'!$F$2:$F$251,MATCH($A30,'Raw Data'!$Q$2:$Q$251,0)),"")</f>
        <v>Bookshelf</v>
      </c>
      <c r="F30" s="48" t="n">
        <f aca="false">IFERROR(INDEX('Raw Data'!$N$2:$N$251,MATCH($A30,'Raw Data'!$Q$2:$Q$251,0)),"")</f>
        <v>299.98</v>
      </c>
    </row>
    <row r="31" customFormat="false" ht="15" hidden="false" customHeight="false" outlineLevel="0" collapsed="false">
      <c r="A31" s="31" t="n">
        <v>25</v>
      </c>
      <c r="B31" s="31" t="str">
        <f aca="false">IFERROR(INDEX('Raw Data'!$A$2:$A$251,MATCH($A31,'Raw Data'!$Q$2:$Q$251,0)),"")</f>
        <v>TRX0172</v>
      </c>
      <c r="C31" s="36" t="n">
        <f aca="false">IFERROR(INDEX('Raw Data'!$B$2:$B$251,MATCH($A31,'Raw Data'!$Q$2:$Q$251,0)),"")</f>
        <v>45607</v>
      </c>
      <c r="D31" s="31" t="str">
        <f aca="false">IFERROR(INDEX('Raw Data'!$D$2:$D$251,MATCH($A31,'Raw Data'!$Q$2:$Q$251,0)),"")</f>
        <v>Paul Baker</v>
      </c>
      <c r="E31" s="31" t="str">
        <f aca="false">IFERROR(INDEX('Raw Data'!$F$2:$F$251,MATCH($A31,'Raw Data'!$Q$2:$Q$251,0)),"")</f>
        <v>Blender</v>
      </c>
      <c r="F31" s="48" t="n">
        <f aca="false">IFERROR(INDEX('Raw Data'!$N$2:$N$251,MATCH($A31,'Raw Data'!$Q$2:$Q$251,0)),"")</f>
        <v>299.95</v>
      </c>
    </row>
  </sheetData>
  <dataValidations count="1">
    <dataValidation allowBlank="false" errorStyle="stop" operator="between" showDropDown="false" showErrorMessage="false" showInputMessage="false" sqref="B2" type="list">
      <formula1>"Central,East,North,South,West"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34" t="s">
        <v>519</v>
      </c>
    </row>
    <row r="3" customFormat="false" ht="15" hidden="false" customHeight="false" outlineLevel="0" collapsed="false">
      <c r="A3" s="30" t="s">
        <v>520</v>
      </c>
      <c r="B3" s="30" t="s">
        <v>521</v>
      </c>
    </row>
    <row r="4" customFormat="false" ht="15" hidden="false" customHeight="false" outlineLevel="0" collapsed="false">
      <c r="A4" s="31" t="s">
        <v>522</v>
      </c>
      <c r="B4" s="40" t="n">
        <f aca="false">SUM('Raw Data'!$N$2:$N$251)</f>
        <v>229192.47</v>
      </c>
    </row>
    <row r="5" customFormat="false" ht="15" hidden="false" customHeight="false" outlineLevel="0" collapsed="false">
      <c r="A5" s="31" t="s">
        <v>523</v>
      </c>
      <c r="B5" s="49" t="n">
        <v>0.05</v>
      </c>
    </row>
    <row r="6" customFormat="false" ht="15" hidden="false" customHeight="false" outlineLevel="0" collapsed="false">
      <c r="A6" s="31" t="s">
        <v>524</v>
      </c>
      <c r="B6" s="49" t="n">
        <v>0.02</v>
      </c>
    </row>
    <row r="7" customFormat="false" ht="15" hidden="false" customHeight="false" outlineLevel="0" collapsed="false">
      <c r="A7" s="31" t="s">
        <v>525</v>
      </c>
      <c r="B7" s="49" t="n">
        <v>0.03</v>
      </c>
    </row>
    <row r="8" customFormat="false" ht="15" hidden="false" customHeight="false" outlineLevel="0" collapsed="false">
      <c r="A8" s="39" t="s">
        <v>526</v>
      </c>
      <c r="B8" s="42" t="n">
        <f aca="false">B4*(1+B5)*(1+B6)*(1-B7)</f>
        <v>238101.1813089</v>
      </c>
    </row>
    <row r="9" customFormat="false" ht="15" hidden="false" customHeight="false" outlineLevel="0" collapsed="false">
      <c r="A9" s="31" t="s">
        <v>527</v>
      </c>
      <c r="B9" s="40" t="n">
        <f aca="false">B8-B4</f>
        <v>8908.71130890003</v>
      </c>
    </row>
    <row r="11" customFormat="false" ht="15" hidden="false" customHeight="false" outlineLevel="0" collapsed="false">
      <c r="A11" s="39" t="s">
        <v>528</v>
      </c>
    </row>
    <row r="12" customFormat="false" ht="15" hidden="false" customHeight="false" outlineLevel="0" collapsed="false">
      <c r="A12" s="30" t="s">
        <v>529</v>
      </c>
      <c r="B12" s="30" t="s">
        <v>530</v>
      </c>
      <c r="C12" s="30" t="s">
        <v>531</v>
      </c>
      <c r="D12" s="30" t="s">
        <v>525</v>
      </c>
      <c r="E12" s="30" t="s">
        <v>532</v>
      </c>
    </row>
    <row r="13" customFormat="false" ht="15" hidden="false" customHeight="false" outlineLevel="0" collapsed="false">
      <c r="A13" s="31" t="s">
        <v>533</v>
      </c>
      <c r="B13" s="50" t="n">
        <v>0.1</v>
      </c>
      <c r="C13" s="50" t="n">
        <v>0.08</v>
      </c>
      <c r="D13" s="50" t="n">
        <v>0.01</v>
      </c>
      <c r="E13" s="40" t="n">
        <f aca="false">$B$4*(1+B13)*(1+C13)*(1-D13)</f>
        <v>269557.8478164</v>
      </c>
    </row>
    <row r="14" customFormat="false" ht="15" hidden="false" customHeight="false" outlineLevel="0" collapsed="false">
      <c r="A14" s="31" t="s">
        <v>534</v>
      </c>
      <c r="B14" s="50" t="n">
        <v>0.05</v>
      </c>
      <c r="C14" s="50" t="n">
        <v>0.02</v>
      </c>
      <c r="D14" s="50" t="n">
        <v>0.03</v>
      </c>
      <c r="E14" s="40" t="n">
        <f aca="false">$B$4*(1+B14)*(1+C14)*(1-D14)</f>
        <v>238101.1813089</v>
      </c>
    </row>
    <row r="15" customFormat="false" ht="15" hidden="false" customHeight="false" outlineLevel="0" collapsed="false">
      <c r="A15" s="31" t="s">
        <v>535</v>
      </c>
      <c r="B15" s="50" t="n">
        <v>-0.02</v>
      </c>
      <c r="C15" s="50" t="n">
        <v>-0.05</v>
      </c>
      <c r="D15" s="50" t="n">
        <v>0.06</v>
      </c>
      <c r="E15" s="40" t="n">
        <f aca="false">$B$4*(1+B15)*(1+C15)*(1-D15)</f>
        <v>200575.4981958</v>
      </c>
    </row>
    <row r="17" customFormat="false" ht="15" hidden="false" customHeight="false" outlineLevel="0" collapsed="false">
      <c r="A17" s="51" t="s">
        <v>536</v>
      </c>
    </row>
    <row r="18" customFormat="false" ht="15" hidden="false" customHeight="false" outlineLevel="0" collapsed="false">
      <c r="A18" s="31" t="s">
        <v>537</v>
      </c>
      <c r="B18" s="52" t="n">
        <f aca="false">B4*1.1</f>
        <v>252111.717</v>
      </c>
    </row>
    <row r="19" customFormat="false" ht="15" hidden="false" customHeight="false" outlineLevel="0" collapsed="false">
      <c r="A19" s="31" t="s">
        <v>538</v>
      </c>
      <c r="B19" s="53" t="n">
        <f aca="false">B18/(B4*(1+B6)*(1-B7))-1</f>
        <v>0.111784920153629</v>
      </c>
    </row>
    <row r="20" customFormat="false" ht="15" hidden="false" customHeight="false" outlineLevel="0" collapsed="false">
      <c r="A20" s="19" t="s">
        <v>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34" t="s">
        <v>540</v>
      </c>
    </row>
    <row r="3" customFormat="false" ht="15" hidden="false" customHeight="false" outlineLevel="0" collapsed="false">
      <c r="A3" s="30" t="s">
        <v>541</v>
      </c>
      <c r="B3" s="30" t="s">
        <v>521</v>
      </c>
    </row>
    <row r="4" customFormat="false" ht="15" hidden="false" customHeight="false" outlineLevel="0" collapsed="false">
      <c r="A4" s="31" t="s">
        <v>542</v>
      </c>
      <c r="B4" s="40" t="n">
        <f aca="false">SLOPE('Raw Data'!$N$2:$N$251,'Raw Data'!$H$2:$H$251)</f>
        <v>353.793004287987</v>
      </c>
    </row>
    <row r="5" customFormat="false" ht="15" hidden="false" customHeight="false" outlineLevel="0" collapsed="false">
      <c r="A5" s="31" t="s">
        <v>543</v>
      </c>
      <c r="B5" s="40" t="n">
        <f aca="false">INTERCEPT('Raw Data'!$N$2:$N$251,'Raw Data'!$H$2:$H$251)</f>
        <v>-148.854648915418</v>
      </c>
    </row>
    <row r="6" customFormat="false" ht="15" hidden="false" customHeight="false" outlineLevel="0" collapsed="false">
      <c r="A6" s="31" t="s">
        <v>544</v>
      </c>
      <c r="B6" s="54" t="n">
        <f aca="false">RSQ('Raw Data'!$N$2:$N$251,'Raw Data'!$H$2:$H$251)</f>
        <v>0.209837617071938</v>
      </c>
    </row>
    <row r="7" customFormat="false" ht="15" hidden="false" customHeight="false" outlineLevel="0" collapsed="false">
      <c r="A7" s="31" t="s">
        <v>545</v>
      </c>
      <c r="B7" s="54" t="n">
        <f aca="false">CORREL('Raw Data'!$N$2:$N$251,'Raw Data'!$H$2:$H$251)</f>
        <v>0.458080360932378</v>
      </c>
    </row>
    <row r="8" customFormat="false" ht="15" hidden="false" customHeight="false" outlineLevel="0" collapsed="false">
      <c r="A8" s="31" t="s">
        <v>546</v>
      </c>
      <c r="B8" s="40" t="n">
        <f aca="false">STEYX('Raw Data'!$N$2:$N$251,'Raw Data'!$H$2:$H$251)</f>
        <v>919.607153494711</v>
      </c>
    </row>
    <row r="9" customFormat="false" ht="15" hidden="false" customHeight="false" outlineLevel="0" collapsed="false">
      <c r="A9" s="31" t="s">
        <v>547</v>
      </c>
      <c r="B9" s="38" t="n">
        <f aca="false">COUNT('Raw Data'!$H$2:$H$251)</f>
        <v>250</v>
      </c>
    </row>
    <row r="11" customFormat="false" ht="15" hidden="false" customHeight="false" outlineLevel="0" collapsed="false">
      <c r="A11" s="39" t="s">
        <v>548</v>
      </c>
      <c r="B11" s="55" t="n">
        <v>4</v>
      </c>
    </row>
    <row r="12" customFormat="false" ht="15" hidden="false" customHeight="false" outlineLevel="0" collapsed="false">
      <c r="A12" s="39" t="s">
        <v>549</v>
      </c>
      <c r="B12" s="42" t="n">
        <f aca="false">B5+B4*B11</f>
        <v>1266.31736823653</v>
      </c>
    </row>
    <row r="14" customFormat="false" ht="15" hidden="false" customHeight="false" outlineLevel="0" collapsed="false">
      <c r="A14" s="19" t="s"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34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34" t="s">
        <v>552</v>
      </c>
    </row>
    <row r="3" customFormat="false" ht="48" hidden="false" customHeight="true" outlineLevel="0" collapsed="false">
      <c r="A3" s="56" t="s">
        <v>553</v>
      </c>
      <c r="B3" s="29" t="str">
        <f aca="false">"Between "&amp;TEXT(Analysis!B6,"dd-mmm-yyyy")&amp;" and "&amp;TEXT(Analysis!B7,"dd-mmm-yyyy")&amp;", "&amp;TEXT(Dashboard!C4,"#,##0")&amp;" orders generated total revenue of $"&amp;TEXT(Dashboard!A4,"#,##0")&amp;", an average of $"&amp;TEXT(Dashboard!E4,"#,##0.00")&amp;" per order."</f>
        <v>Between 11-Apr-2024 and 11-Apr-2025, 250 orders generated total revenue of $229,192, an average of $916.77 per order.</v>
      </c>
    </row>
    <row r="4" customFormat="false" ht="48" hidden="false" customHeight="true" outlineLevel="0" collapsed="false">
      <c r="A4" s="56" t="s">
        <v>554</v>
      </c>
      <c r="B4" s="29" t="str">
        <f aca="false">"Our top customer is "&amp;Analysis!B65&amp;". "&amp;Analysis!B66&amp;" of "&amp;Dashboard!G4&amp;" customers are High-Value (revenue ≥ $"&amp;TEXT(Analysis!B12,"#,##0")&amp;") and they drive "&amp;TEXT(SUMIFS(Analysis!D14:D63,Analysis!G14:G63,"High-Value")/Analysis!D64,"0%")&amp;" of revenue."</f>
        <v>Our top customer is Mark Carter. 13 of 50 customers are High-Value (revenue ≥ $6,305) and they drive 49% of revenue.</v>
      </c>
    </row>
    <row r="5" customFormat="false" ht="48" hidden="false" customHeight="true" outlineLevel="0" collapsed="false">
      <c r="A5" s="56" t="s">
        <v>555</v>
      </c>
      <c r="B5" s="29" t="str">
        <f aca="false">"Most frequently purchased: "&amp;Analysis!B81&amp;". Highest revenue: "&amp;Analysis!B83&amp;" ("&amp;TEXT(MAX(Analysis!F70:F79),"0%")&amp;" of revenue)."</f>
        <v>Most frequently purchased: Bookshelf. Highest revenue: Laptop (29% of revenue).</v>
      </c>
    </row>
    <row r="6" customFormat="false" ht="48" hidden="false" customHeight="true" outlineLevel="0" collapsed="false">
      <c r="A6" s="56" t="s">
        <v>556</v>
      </c>
      <c r="B6" s="29" t="str">
        <f aca="false">"Best region: "&amp;Analysis!B93&amp;" with $"&amp;TEXT(MAX(Analysis!C87:C91),"#,##0")&amp;" ("&amp;TEXT(MAX(Analysis!D87:D91),"0%")&amp;" share); weakest region earned $"&amp;TEXT(MIN(Analysis!C87:C91),"#,##0")&amp;"."</f>
        <v>Best region: East with $59,288 (26% share); weakest region earned $36,399.</v>
      </c>
    </row>
    <row r="7" customFormat="false" ht="48" hidden="false" customHeight="true" outlineLevel="0" collapsed="false">
      <c r="A7" s="56" t="s">
        <v>557</v>
      </c>
      <c r="B7" s="29" t="str">
        <f aca="false">"Last full month ("&amp;TEXT(Analysis!A127,"mmm-yy")&amp;") revenue was $"&amp;TEXT(Analysis!C127,"#,##0")&amp;", "&amp;IF(Analysis!F127&gt;=0,"up ","down ")&amp;TEXT(ABS(Analysis!F127),"0.0%")&amp;" versus the prior month."</f>
        <v>Last full month (Mar-25) revenue was $19,899, up 23.8% versus the prior month.</v>
      </c>
    </row>
    <row r="8" customFormat="false" ht="48" hidden="false" customHeight="true" outlineLevel="0" collapsed="false">
      <c r="A8" s="56" t="s">
        <v>558</v>
      </c>
      <c r="B8" s="29" t="str">
        <f aca="false">"Each extra unit in an order adds about $"&amp;TEXT(Regression!B4,"#,##0")&amp;" in revenue (R² = "&amp;TEXT(Regression!B6,"0.00")&amp;")."</f>
        <v>Each extra unit in an order adds about $354 in revenue (R² = 0.21).</v>
      </c>
    </row>
    <row r="9" customFormat="false" ht="48" hidden="false" customHeight="true" outlineLevel="0" collapsed="false">
      <c r="A9" s="56" t="s">
        <v>23</v>
      </c>
      <c r="B9" s="29" t="str">
        <f aca="false">"Base-case scenario revenue is $"&amp;TEXT('What-If'!E14,"#,##0")&amp;" versus best case $"&amp;TEXT('What-If'!E13,"#,##0")&amp;" and worst case $"&amp;TEXT('What-If'!E15,"#,##0")&amp;"."</f>
        <v>Base-case scenario revenue is $238,101 versus best case $269,558 and worst case $200,575.</v>
      </c>
    </row>
    <row r="10" customFormat="false" ht="48" hidden="false" customHeight="true" outlineLevel="0" collapsed="false">
      <c r="A10" s="56" t="s">
        <v>559</v>
      </c>
      <c r="B10" s="29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2026-10-09T10:58:09Z</dcterms:created>
  <dc:creator>openpyxl</dc:creator>
  <dc:description/>
  <dc:language>en-US</dc:language>
  <cp:lastModifiedBy/>
  <dcterms:modified xsi:type="dcterms:W3CDTF">2026-10-09T10:58:14Z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